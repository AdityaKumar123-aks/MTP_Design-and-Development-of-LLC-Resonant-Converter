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iitbacin-my.sharepoint.com/personal/24m1355_iitb_ac_in/Documents/1.M.Tech 3rd Sem/MTP_Design and Development of LLC Resonant Converter for EV Charging/MTP_MyMaterial/LLC/"/>
    </mc:Choice>
  </mc:AlternateContent>
  <xr:revisionPtr revIDLastSave="87" documentId="11_F25DC773A252ABDACC10486D515C56A65BDE58EF" xr6:coauthVersionLast="47" xr6:coauthVersionMax="47" xr10:uidLastSave="{045B8BF4-49B8-438F-83CC-B4BB06D5A11C}"/>
  <bookViews>
    <workbookView xWindow="-103" yWindow="-103" windowWidth="24892" windowHeight="14914" activeTab="1" xr2:uid="{00000000-000D-0000-FFFF-FFFF00000000}"/>
  </bookViews>
  <sheets>
    <sheet name="18kHz" sheetId="1" r:id="rId1"/>
    <sheet name="30kHz" sheetId="2" r:id="rId2"/>
    <sheet name="12 kHz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9" i="3" l="1"/>
  <c r="I29" i="3"/>
  <c r="J28" i="3"/>
  <c r="I28" i="3"/>
  <c r="J27" i="3"/>
  <c r="I27" i="3"/>
  <c r="J25" i="3"/>
  <c r="I25" i="3"/>
  <c r="J24" i="3"/>
  <c r="I24" i="3"/>
  <c r="J22" i="3"/>
  <c r="I22" i="3"/>
  <c r="J21" i="3"/>
  <c r="I21" i="3"/>
  <c r="J17" i="3"/>
  <c r="I17" i="3"/>
  <c r="J16" i="3"/>
  <c r="I16" i="3"/>
  <c r="J14" i="3"/>
  <c r="I14" i="3"/>
  <c r="J13" i="3"/>
  <c r="I13" i="3"/>
  <c r="J12" i="3"/>
  <c r="I12" i="3"/>
  <c r="J10" i="3"/>
  <c r="J8" i="3"/>
  <c r="J6" i="3"/>
  <c r="J28" i="2"/>
  <c r="I28" i="2"/>
  <c r="J27" i="2"/>
  <c r="I27" i="2"/>
  <c r="J25" i="2"/>
  <c r="I25" i="2"/>
  <c r="J24" i="2"/>
  <c r="I24" i="2"/>
  <c r="J22" i="2"/>
  <c r="I22" i="2"/>
  <c r="J21" i="2"/>
  <c r="I21" i="2"/>
  <c r="J17" i="2"/>
  <c r="I17" i="2"/>
  <c r="J16" i="2"/>
  <c r="I16" i="2"/>
  <c r="J14" i="2"/>
  <c r="I14" i="2"/>
  <c r="J13" i="2"/>
  <c r="I13" i="2"/>
  <c r="J12" i="2"/>
  <c r="I12" i="2"/>
  <c r="J10" i="2"/>
  <c r="J8" i="2"/>
  <c r="J6" i="2"/>
  <c r="J16" i="1"/>
  <c r="J28" i="1"/>
  <c r="I28" i="1"/>
  <c r="J27" i="1"/>
  <c r="I27" i="1"/>
  <c r="J25" i="1"/>
  <c r="I25" i="1"/>
  <c r="J24" i="1"/>
  <c r="I24" i="1"/>
  <c r="J22" i="1"/>
  <c r="I22" i="1"/>
  <c r="J21" i="1"/>
  <c r="I21" i="1"/>
  <c r="J17" i="1"/>
  <c r="I17" i="1"/>
  <c r="I16" i="1"/>
  <c r="J14" i="1"/>
  <c r="I14" i="1"/>
  <c r="J13" i="1"/>
  <c r="I13" i="1"/>
  <c r="J12" i="1"/>
  <c r="I12" i="1"/>
  <c r="J10" i="1"/>
  <c r="J8" i="1"/>
  <c r="J6" i="1"/>
</calcChain>
</file>

<file path=xl/sharedStrings.xml><?xml version="1.0" encoding="utf-8"?>
<sst xmlns="http://schemas.openxmlformats.org/spreadsheetml/2006/main" count="153" uniqueCount="21">
  <si>
    <t>Simulation</t>
  </si>
  <si>
    <t>Experimental</t>
  </si>
  <si>
    <t>DC</t>
  </si>
  <si>
    <t>Vin</t>
  </si>
  <si>
    <t>V</t>
  </si>
  <si>
    <t>Amp</t>
  </si>
  <si>
    <t>VAB</t>
  </si>
  <si>
    <t>VCD</t>
  </si>
  <si>
    <t>p-p</t>
  </si>
  <si>
    <t>I_Lr</t>
  </si>
  <si>
    <t>A</t>
  </si>
  <si>
    <t>avg</t>
  </si>
  <si>
    <t>rms</t>
  </si>
  <si>
    <t>Idc</t>
  </si>
  <si>
    <t>Vo</t>
  </si>
  <si>
    <t>At 18 kHz</t>
  </si>
  <si>
    <t>V_Cr</t>
  </si>
  <si>
    <t>As fsw increases, iL decreses</t>
  </si>
  <si>
    <t>At 30 kHz</t>
  </si>
  <si>
    <t>2 to 7</t>
  </si>
  <si>
    <t>Isec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</si>
</sst>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L28"/>
  <sheetViews>
    <sheetView workbookViewId="0">
      <selection activeCell="E30" sqref="E30"/>
    </sheetView>
  </sheetViews>
  <sheetFormatPr defaultRowHeight="14.6" x14ac:dyDescent="0.4"/>
  <cols>
    <col min="1" max="16384" width="9.23046875" style="1"/>
  </cols>
  <sheetData>
    <row r="2" spans="3:12" x14ac:dyDescent="0.4">
      <c r="F2" s="3" t="s">
        <v>15</v>
      </c>
      <c r="G2" s="4"/>
      <c r="H2" s="5"/>
    </row>
    <row r="4" spans="3:12" x14ac:dyDescent="0.4">
      <c r="D4" s="3" t="s">
        <v>0</v>
      </c>
      <c r="E4" s="4"/>
      <c r="F4" s="5"/>
      <c r="J4" s="3" t="s">
        <v>1</v>
      </c>
      <c r="K4" s="4"/>
      <c r="L4" s="5"/>
    </row>
    <row r="6" spans="3:12" x14ac:dyDescent="0.4">
      <c r="C6" s="1" t="s">
        <v>2</v>
      </c>
      <c r="D6" s="1" t="s">
        <v>3</v>
      </c>
      <c r="E6" s="1">
        <v>20</v>
      </c>
      <c r="F6" s="1" t="s">
        <v>4</v>
      </c>
      <c r="I6" s="1" t="s">
        <v>2</v>
      </c>
      <c r="J6" s="1" t="str">
        <f>D6</f>
        <v>Vin</v>
      </c>
      <c r="K6" s="1">
        <v>60</v>
      </c>
      <c r="L6" s="1" t="s">
        <v>4</v>
      </c>
    </row>
    <row r="8" spans="3:12" x14ac:dyDescent="0.4">
      <c r="C8" s="1" t="s">
        <v>5</v>
      </c>
      <c r="D8" s="1" t="s">
        <v>6</v>
      </c>
      <c r="I8" s="1" t="s">
        <v>5</v>
      </c>
      <c r="J8" s="1" t="str">
        <f t="shared" ref="J8:J28" si="0">D8</f>
        <v>VAB</v>
      </c>
      <c r="K8" s="1">
        <v>58</v>
      </c>
      <c r="L8" s="1" t="s">
        <v>4</v>
      </c>
    </row>
    <row r="10" spans="3:12" x14ac:dyDescent="0.4">
      <c r="C10" s="1" t="s">
        <v>5</v>
      </c>
      <c r="D10" s="1" t="s">
        <v>7</v>
      </c>
      <c r="I10" s="1" t="s">
        <v>5</v>
      </c>
      <c r="J10" s="1" t="str">
        <f t="shared" si="0"/>
        <v>VCD</v>
      </c>
      <c r="K10" s="1">
        <v>11</v>
      </c>
      <c r="L10" s="1" t="s">
        <v>4</v>
      </c>
    </row>
    <row r="12" spans="3:12" x14ac:dyDescent="0.4">
      <c r="C12" s="1" t="s">
        <v>8</v>
      </c>
      <c r="D12" s="1" t="s">
        <v>9</v>
      </c>
      <c r="I12" s="1" t="str">
        <f t="shared" ref="I12:I28" si="1">C12</f>
        <v>p-p</v>
      </c>
      <c r="J12" s="1" t="str">
        <f t="shared" si="0"/>
        <v>I_Lr</v>
      </c>
      <c r="K12" s="1">
        <v>3.7</v>
      </c>
      <c r="L12" s="1" t="s">
        <v>10</v>
      </c>
    </row>
    <row r="13" spans="3:12" x14ac:dyDescent="0.4">
      <c r="C13" s="1" t="s">
        <v>11</v>
      </c>
      <c r="D13" s="1" t="s">
        <v>9</v>
      </c>
      <c r="I13" s="1" t="str">
        <f t="shared" si="1"/>
        <v>avg</v>
      </c>
      <c r="J13" s="1" t="str">
        <f t="shared" si="0"/>
        <v>I_Lr</v>
      </c>
      <c r="K13" s="1">
        <v>5.2999999999999999E-2</v>
      </c>
      <c r="L13" s="1" t="s">
        <v>10</v>
      </c>
    </row>
    <row r="14" spans="3:12" x14ac:dyDescent="0.4">
      <c r="C14" s="1" t="s">
        <v>12</v>
      </c>
      <c r="D14" s="1" t="s">
        <v>9</v>
      </c>
      <c r="I14" s="1" t="str">
        <f t="shared" si="1"/>
        <v>rms</v>
      </c>
      <c r="J14" s="1" t="str">
        <f t="shared" si="0"/>
        <v>I_Lr</v>
      </c>
      <c r="K14" s="1">
        <v>1.2283999999999999</v>
      </c>
      <c r="L14" s="1" t="s">
        <v>10</v>
      </c>
    </row>
    <row r="16" spans="3:12" x14ac:dyDescent="0.4">
      <c r="C16" s="1" t="s">
        <v>8</v>
      </c>
      <c r="D16" s="1" t="s">
        <v>16</v>
      </c>
      <c r="I16" s="1" t="str">
        <f t="shared" si="1"/>
        <v>p-p</v>
      </c>
      <c r="J16" s="1" t="str">
        <f t="shared" si="0"/>
        <v>V_Cr</v>
      </c>
      <c r="K16" s="1">
        <v>100</v>
      </c>
      <c r="L16" s="1" t="s">
        <v>4</v>
      </c>
    </row>
    <row r="17" spans="3:12" x14ac:dyDescent="0.4">
      <c r="C17" s="1" t="s">
        <v>12</v>
      </c>
      <c r="D17" s="1" t="s">
        <v>16</v>
      </c>
      <c r="I17" s="1" t="str">
        <f t="shared" si="1"/>
        <v>rms</v>
      </c>
      <c r="J17" s="1" t="str">
        <f t="shared" si="0"/>
        <v>V_Cr</v>
      </c>
      <c r="K17" s="1">
        <v>34.551000000000002</v>
      </c>
      <c r="L17" s="1" t="s">
        <v>4</v>
      </c>
    </row>
    <row r="21" spans="3:12" x14ac:dyDescent="0.4">
      <c r="C21" s="1" t="s">
        <v>8</v>
      </c>
      <c r="D21" s="1" t="s">
        <v>13</v>
      </c>
      <c r="I21" s="1" t="str">
        <f t="shared" si="1"/>
        <v>p-p</v>
      </c>
      <c r="J21" s="1" t="str">
        <f t="shared" si="0"/>
        <v>Idc</v>
      </c>
      <c r="K21" s="1">
        <v>0.8</v>
      </c>
      <c r="L21" s="1" t="s">
        <v>10</v>
      </c>
    </row>
    <row r="22" spans="3:12" x14ac:dyDescent="0.4">
      <c r="C22" s="1" t="s">
        <v>11</v>
      </c>
      <c r="D22" s="1" t="s">
        <v>13</v>
      </c>
      <c r="I22" s="1" t="str">
        <f t="shared" si="1"/>
        <v>avg</v>
      </c>
      <c r="J22" s="1" t="str">
        <f t="shared" si="0"/>
        <v>Idc</v>
      </c>
      <c r="K22" s="1">
        <v>0.54500000000000004</v>
      </c>
      <c r="L22" s="1" t="s">
        <v>10</v>
      </c>
    </row>
    <row r="24" spans="3:12" x14ac:dyDescent="0.4">
      <c r="C24" s="1" t="s">
        <v>8</v>
      </c>
      <c r="D24" s="1" t="s">
        <v>14</v>
      </c>
      <c r="I24" s="1" t="str">
        <f t="shared" si="1"/>
        <v>p-p</v>
      </c>
      <c r="J24" s="1" t="str">
        <f t="shared" si="0"/>
        <v>Vo</v>
      </c>
      <c r="K24" s="1">
        <v>13.8</v>
      </c>
      <c r="L24" s="1" t="s">
        <v>4</v>
      </c>
    </row>
    <row r="25" spans="3:12" x14ac:dyDescent="0.4">
      <c r="C25" s="1" t="s">
        <v>11</v>
      </c>
      <c r="D25" s="1" t="s">
        <v>14</v>
      </c>
      <c r="I25" s="1" t="str">
        <f t="shared" si="1"/>
        <v>avg</v>
      </c>
      <c r="J25" s="1" t="str">
        <f t="shared" si="0"/>
        <v>Vo</v>
      </c>
      <c r="K25" s="1">
        <v>3.64</v>
      </c>
      <c r="L25" s="1" t="s">
        <v>4</v>
      </c>
    </row>
    <row r="27" spans="3:12" x14ac:dyDescent="0.4">
      <c r="C27" s="1" t="s">
        <v>8</v>
      </c>
      <c r="D27" s="1" t="s">
        <v>20</v>
      </c>
      <c r="I27" s="1" t="str">
        <f t="shared" si="1"/>
        <v>p-p</v>
      </c>
      <c r="J27" s="1" t="str">
        <f t="shared" si="0"/>
        <v>Isec</v>
      </c>
      <c r="K27" s="1">
        <v>0.57999999999999996</v>
      </c>
      <c r="L27" s="1" t="s">
        <v>10</v>
      </c>
    </row>
    <row r="28" spans="3:12" x14ac:dyDescent="0.4">
      <c r="C28" s="1" t="s">
        <v>11</v>
      </c>
      <c r="D28" s="1" t="s">
        <v>20</v>
      </c>
      <c r="I28" s="1" t="str">
        <f t="shared" si="1"/>
        <v>avg</v>
      </c>
      <c r="J28" s="1" t="str">
        <f t="shared" si="0"/>
        <v>Isec</v>
      </c>
      <c r="K28" s="1">
        <v>0.45</v>
      </c>
      <c r="L28" s="1" t="s">
        <v>10</v>
      </c>
    </row>
  </sheetData>
  <mergeCells count="3">
    <mergeCell ref="F2:H2"/>
    <mergeCell ref="D4:F4"/>
    <mergeCell ref="J4:L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275DF-505C-4504-8D45-4EF604B45F79}">
  <dimension ref="C2:S28"/>
  <sheetViews>
    <sheetView tabSelected="1" workbookViewId="0">
      <selection activeCell="I6" sqref="I6:L28"/>
    </sheetView>
  </sheetViews>
  <sheetFormatPr defaultRowHeight="14.6" x14ac:dyDescent="0.4"/>
  <cols>
    <col min="1" max="16384" width="9.23046875" style="1"/>
  </cols>
  <sheetData>
    <row r="2" spans="3:19" x14ac:dyDescent="0.4">
      <c r="F2" s="3" t="s">
        <v>18</v>
      </c>
      <c r="G2" s="4"/>
      <c r="H2" s="5"/>
    </row>
    <row r="4" spans="3:19" x14ac:dyDescent="0.4">
      <c r="D4" s="3" t="s">
        <v>0</v>
      </c>
      <c r="E4" s="4"/>
      <c r="F4" s="5"/>
      <c r="J4" s="3" t="s">
        <v>1</v>
      </c>
      <c r="K4" s="4"/>
      <c r="L4" s="5"/>
    </row>
    <row r="6" spans="3:19" x14ac:dyDescent="0.4">
      <c r="C6" s="1" t="s">
        <v>2</v>
      </c>
      <c r="D6" s="1" t="s">
        <v>3</v>
      </c>
      <c r="E6" s="1">
        <v>20</v>
      </c>
      <c r="F6" s="1" t="s">
        <v>4</v>
      </c>
      <c r="I6" s="1" t="s">
        <v>2</v>
      </c>
      <c r="J6" s="1" t="str">
        <f>D6</f>
        <v>Vin</v>
      </c>
      <c r="K6" s="1">
        <v>60</v>
      </c>
      <c r="L6" s="1" t="s">
        <v>4</v>
      </c>
    </row>
    <row r="8" spans="3:19" x14ac:dyDescent="0.4">
      <c r="C8" s="1" t="s">
        <v>5</v>
      </c>
      <c r="D8" s="1" t="s">
        <v>6</v>
      </c>
      <c r="I8" s="1" t="s">
        <v>5</v>
      </c>
      <c r="J8" s="1" t="str">
        <f t="shared" ref="J8:J28" si="0">D8</f>
        <v>VAB</v>
      </c>
      <c r="K8" s="1">
        <v>60</v>
      </c>
      <c r="L8" s="1" t="s">
        <v>4</v>
      </c>
    </row>
    <row r="9" spans="3:19" x14ac:dyDescent="0.4">
      <c r="O9" s="6" t="s">
        <v>17</v>
      </c>
      <c r="P9" s="6"/>
      <c r="Q9" s="6"/>
      <c r="R9" s="6"/>
      <c r="S9" s="6"/>
    </row>
    <row r="10" spans="3:19" x14ac:dyDescent="0.4">
      <c r="C10" s="1" t="s">
        <v>5</v>
      </c>
      <c r="D10" s="1" t="s">
        <v>7</v>
      </c>
      <c r="I10" s="1" t="s">
        <v>5</v>
      </c>
      <c r="J10" s="1" t="str">
        <f t="shared" si="0"/>
        <v>VCD</v>
      </c>
      <c r="K10" s="1">
        <v>2.8</v>
      </c>
      <c r="L10" s="1" t="s">
        <v>4</v>
      </c>
    </row>
    <row r="12" spans="3:19" x14ac:dyDescent="0.4">
      <c r="C12" s="1" t="s">
        <v>8</v>
      </c>
      <c r="D12" s="1" t="s">
        <v>9</v>
      </c>
      <c r="I12" s="1" t="str">
        <f t="shared" ref="I12:I28" si="1">C12</f>
        <v>p-p</v>
      </c>
      <c r="J12" s="1" t="str">
        <f t="shared" si="0"/>
        <v>I_Lr</v>
      </c>
      <c r="K12" s="1">
        <v>1.07</v>
      </c>
      <c r="L12" s="1" t="s">
        <v>10</v>
      </c>
    </row>
    <row r="13" spans="3:19" x14ac:dyDescent="0.4">
      <c r="C13" s="1" t="s">
        <v>11</v>
      </c>
      <c r="D13" s="1" t="s">
        <v>9</v>
      </c>
      <c r="I13" s="1" t="str">
        <f t="shared" si="1"/>
        <v>avg</v>
      </c>
      <c r="J13" s="1" t="str">
        <f t="shared" si="0"/>
        <v>I_Lr</v>
      </c>
      <c r="K13" s="1">
        <v>0.06</v>
      </c>
      <c r="L13" s="1" t="s">
        <v>10</v>
      </c>
    </row>
    <row r="14" spans="3:19" x14ac:dyDescent="0.4">
      <c r="C14" s="1" t="s">
        <v>12</v>
      </c>
      <c r="D14" s="1" t="s">
        <v>9</v>
      </c>
      <c r="I14" s="1" t="str">
        <f t="shared" si="1"/>
        <v>rms</v>
      </c>
      <c r="J14" s="1" t="str">
        <f t="shared" si="0"/>
        <v>I_Lr</v>
      </c>
      <c r="K14" s="1">
        <v>0.32</v>
      </c>
      <c r="L14" s="1" t="s">
        <v>10</v>
      </c>
    </row>
    <row r="16" spans="3:19" x14ac:dyDescent="0.4">
      <c r="C16" s="1" t="s">
        <v>8</v>
      </c>
      <c r="D16" s="1" t="s">
        <v>16</v>
      </c>
      <c r="I16" s="1" t="str">
        <f t="shared" si="1"/>
        <v>p-p</v>
      </c>
      <c r="J16" s="1" t="str">
        <f t="shared" si="0"/>
        <v>V_Cr</v>
      </c>
      <c r="K16" s="1">
        <v>54</v>
      </c>
      <c r="L16" s="1" t="s">
        <v>4</v>
      </c>
    </row>
    <row r="17" spans="3:12" x14ac:dyDescent="0.4">
      <c r="C17" s="1" t="s">
        <v>12</v>
      </c>
      <c r="D17" s="1" t="s">
        <v>16</v>
      </c>
      <c r="I17" s="1" t="str">
        <f t="shared" si="1"/>
        <v>rms</v>
      </c>
      <c r="J17" s="1" t="str">
        <f t="shared" si="0"/>
        <v>V_Cr</v>
      </c>
      <c r="K17" s="1">
        <v>18</v>
      </c>
      <c r="L17" s="1" t="s">
        <v>4</v>
      </c>
    </row>
    <row r="21" spans="3:12" x14ac:dyDescent="0.4">
      <c r="C21" s="1" t="s">
        <v>8</v>
      </c>
      <c r="D21" s="1" t="s">
        <v>13</v>
      </c>
      <c r="I21" s="1" t="str">
        <f t="shared" si="1"/>
        <v>p-p</v>
      </c>
      <c r="J21" s="1" t="str">
        <f t="shared" si="0"/>
        <v>Idc</v>
      </c>
      <c r="K21" s="1">
        <v>0.22</v>
      </c>
      <c r="L21" s="1" t="s">
        <v>10</v>
      </c>
    </row>
    <row r="22" spans="3:12" x14ac:dyDescent="0.4">
      <c r="C22" s="1" t="s">
        <v>11</v>
      </c>
      <c r="D22" s="1" t="s">
        <v>13</v>
      </c>
      <c r="I22" s="1" t="str">
        <f t="shared" si="1"/>
        <v>avg</v>
      </c>
      <c r="J22" s="1" t="str">
        <f t="shared" si="0"/>
        <v>Idc</v>
      </c>
      <c r="K22" s="1">
        <v>5.7000000000000002E-2</v>
      </c>
      <c r="L22" s="1" t="s">
        <v>10</v>
      </c>
    </row>
    <row r="24" spans="3:12" x14ac:dyDescent="0.4">
      <c r="C24" s="1" t="s">
        <v>8</v>
      </c>
      <c r="D24" s="1" t="s">
        <v>14</v>
      </c>
      <c r="I24" s="1" t="str">
        <f t="shared" si="1"/>
        <v>p-p</v>
      </c>
      <c r="J24" s="1" t="str">
        <f t="shared" si="0"/>
        <v>Vo</v>
      </c>
      <c r="K24" s="1">
        <v>6</v>
      </c>
      <c r="L24" s="1" t="s">
        <v>4</v>
      </c>
    </row>
    <row r="25" spans="3:12" x14ac:dyDescent="0.4">
      <c r="C25" s="1" t="s">
        <v>11</v>
      </c>
      <c r="D25" s="1" t="s">
        <v>14</v>
      </c>
      <c r="I25" s="1" t="str">
        <f t="shared" si="1"/>
        <v>avg</v>
      </c>
      <c r="J25" s="1" t="str">
        <f t="shared" si="0"/>
        <v>Vo</v>
      </c>
      <c r="K25" s="1">
        <v>0.80700000000000005</v>
      </c>
      <c r="L25" s="1" t="s">
        <v>4</v>
      </c>
    </row>
    <row r="27" spans="3:12" x14ac:dyDescent="0.4">
      <c r="C27" s="1" t="s">
        <v>8</v>
      </c>
      <c r="D27" s="1" t="s">
        <v>20</v>
      </c>
      <c r="I27" s="1" t="str">
        <f t="shared" si="1"/>
        <v>p-p</v>
      </c>
      <c r="J27" s="1" t="str">
        <f t="shared" si="0"/>
        <v>Isec</v>
      </c>
      <c r="K27" s="1">
        <v>4.5999999999999996</v>
      </c>
      <c r="L27" s="1" t="s">
        <v>10</v>
      </c>
    </row>
    <row r="28" spans="3:12" x14ac:dyDescent="0.4">
      <c r="C28" s="1" t="s">
        <v>12</v>
      </c>
      <c r="D28" s="1" t="s">
        <v>20</v>
      </c>
      <c r="I28" s="1" t="str">
        <f t="shared" si="1"/>
        <v>rms</v>
      </c>
      <c r="J28" s="1" t="str">
        <f t="shared" si="0"/>
        <v>Isec</v>
      </c>
      <c r="K28" s="1">
        <v>1.33</v>
      </c>
      <c r="L28" s="1" t="s">
        <v>10</v>
      </c>
    </row>
  </sheetData>
  <mergeCells count="4">
    <mergeCell ref="F2:H2"/>
    <mergeCell ref="D4:F4"/>
    <mergeCell ref="J4:L4"/>
    <mergeCell ref="O9:S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3D43-4FBA-4F90-87BE-92339544EBE2}">
  <dimension ref="C2:S29"/>
  <sheetViews>
    <sheetView workbookViewId="0">
      <selection activeCell="O23" sqref="O23"/>
    </sheetView>
  </sheetViews>
  <sheetFormatPr defaultRowHeight="14.6" x14ac:dyDescent="0.4"/>
  <cols>
    <col min="1" max="16384" width="9.23046875" style="1"/>
  </cols>
  <sheetData>
    <row r="2" spans="3:19" x14ac:dyDescent="0.4">
      <c r="F2" s="3" t="s">
        <v>18</v>
      </c>
      <c r="G2" s="4"/>
      <c r="H2" s="5"/>
    </row>
    <row r="4" spans="3:19" x14ac:dyDescent="0.4">
      <c r="D4" s="3" t="s">
        <v>0</v>
      </c>
      <c r="E4" s="4"/>
      <c r="F4" s="5"/>
      <c r="J4" s="3" t="s">
        <v>1</v>
      </c>
      <c r="K4" s="4"/>
      <c r="L4" s="5"/>
    </row>
    <row r="6" spans="3:19" x14ac:dyDescent="0.4">
      <c r="C6" s="1" t="s">
        <v>2</v>
      </c>
      <c r="D6" s="1" t="s">
        <v>3</v>
      </c>
      <c r="E6" s="1">
        <v>20</v>
      </c>
      <c r="F6" s="1" t="s">
        <v>4</v>
      </c>
      <c r="I6" s="1" t="s">
        <v>2</v>
      </c>
      <c r="J6" s="1" t="str">
        <f>D6</f>
        <v>Vin</v>
      </c>
      <c r="K6" s="1">
        <v>60</v>
      </c>
      <c r="L6" s="1" t="s">
        <v>4</v>
      </c>
    </row>
    <row r="8" spans="3:19" x14ac:dyDescent="0.4">
      <c r="C8" s="1" t="s">
        <v>5</v>
      </c>
      <c r="D8" s="1" t="s">
        <v>6</v>
      </c>
      <c r="I8" s="1" t="s">
        <v>5</v>
      </c>
      <c r="J8" s="1" t="str">
        <f t="shared" ref="J8:J29" si="0">D8</f>
        <v>VAB</v>
      </c>
      <c r="K8" s="1">
        <v>59</v>
      </c>
      <c r="L8" s="1" t="s">
        <v>4</v>
      </c>
    </row>
    <row r="9" spans="3:19" x14ac:dyDescent="0.4">
      <c r="O9" s="6" t="s">
        <v>17</v>
      </c>
      <c r="P9" s="6"/>
      <c r="Q9" s="6"/>
      <c r="R9" s="6"/>
      <c r="S9" s="6"/>
    </row>
    <row r="10" spans="3:19" x14ac:dyDescent="0.4">
      <c r="C10" s="1" t="s">
        <v>5</v>
      </c>
      <c r="D10" s="1" t="s">
        <v>7</v>
      </c>
      <c r="I10" s="1" t="s">
        <v>5</v>
      </c>
      <c r="J10" s="1" t="str">
        <f t="shared" si="0"/>
        <v>VCD</v>
      </c>
      <c r="K10" s="2" t="s">
        <v>19</v>
      </c>
      <c r="L10" s="1" t="s">
        <v>4</v>
      </c>
    </row>
    <row r="12" spans="3:19" x14ac:dyDescent="0.4">
      <c r="C12" s="1" t="s">
        <v>8</v>
      </c>
      <c r="D12" s="1" t="s">
        <v>9</v>
      </c>
      <c r="I12" s="1" t="str">
        <f t="shared" ref="I12:I29" si="1">C12</f>
        <v>p-p</v>
      </c>
      <c r="J12" s="1" t="str">
        <f t="shared" si="0"/>
        <v>I_Lr</v>
      </c>
      <c r="K12" s="1">
        <v>0.92</v>
      </c>
      <c r="L12" s="1" t="s">
        <v>10</v>
      </c>
    </row>
    <row r="13" spans="3:19" x14ac:dyDescent="0.4">
      <c r="C13" s="1" t="s">
        <v>11</v>
      </c>
      <c r="D13" s="1" t="s">
        <v>9</v>
      </c>
      <c r="I13" s="1" t="str">
        <f t="shared" si="1"/>
        <v>avg</v>
      </c>
      <c r="J13" s="1" t="str">
        <f t="shared" si="0"/>
        <v>I_Lr</v>
      </c>
      <c r="K13" s="1">
        <v>0.06</v>
      </c>
      <c r="L13" s="1" t="s">
        <v>10</v>
      </c>
    </row>
    <row r="14" spans="3:19" x14ac:dyDescent="0.4">
      <c r="C14" s="1" t="s">
        <v>12</v>
      </c>
      <c r="D14" s="1" t="s">
        <v>9</v>
      </c>
      <c r="I14" s="1" t="str">
        <f t="shared" si="1"/>
        <v>rms</v>
      </c>
      <c r="J14" s="1" t="str">
        <f t="shared" si="0"/>
        <v>I_Lr</v>
      </c>
      <c r="K14" s="1">
        <v>0.28799999999999998</v>
      </c>
      <c r="L14" s="1" t="s">
        <v>10</v>
      </c>
    </row>
    <row r="16" spans="3:19" x14ac:dyDescent="0.4">
      <c r="C16" s="1" t="s">
        <v>8</v>
      </c>
      <c r="D16" s="1" t="s">
        <v>16</v>
      </c>
      <c r="I16" s="1" t="str">
        <f t="shared" si="1"/>
        <v>p-p</v>
      </c>
      <c r="J16" s="1" t="str">
        <f t="shared" si="0"/>
        <v>V_Cr</v>
      </c>
      <c r="K16" s="1">
        <v>131</v>
      </c>
      <c r="L16" s="1" t="s">
        <v>4</v>
      </c>
    </row>
    <row r="17" spans="3:12" x14ac:dyDescent="0.4">
      <c r="C17" s="1" t="s">
        <v>12</v>
      </c>
      <c r="D17" s="1" t="s">
        <v>16</v>
      </c>
      <c r="I17" s="1" t="str">
        <f t="shared" si="1"/>
        <v>rms</v>
      </c>
      <c r="J17" s="1" t="str">
        <f t="shared" si="0"/>
        <v>V_Cr</v>
      </c>
      <c r="K17" s="1">
        <v>36</v>
      </c>
      <c r="L17" s="1" t="s">
        <v>4</v>
      </c>
    </row>
    <row r="21" spans="3:12" x14ac:dyDescent="0.4">
      <c r="C21" s="1" t="s">
        <v>8</v>
      </c>
      <c r="D21" s="1" t="s">
        <v>13</v>
      </c>
      <c r="I21" s="1" t="str">
        <f t="shared" si="1"/>
        <v>p-p</v>
      </c>
      <c r="J21" s="1" t="str">
        <f t="shared" si="0"/>
        <v>Idc</v>
      </c>
      <c r="K21" s="1">
        <v>0.23699999999999999</v>
      </c>
      <c r="L21" s="1" t="s">
        <v>10</v>
      </c>
    </row>
    <row r="22" spans="3:12" x14ac:dyDescent="0.4">
      <c r="C22" s="1" t="s">
        <v>11</v>
      </c>
      <c r="D22" s="1" t="s">
        <v>13</v>
      </c>
      <c r="I22" s="1" t="str">
        <f t="shared" si="1"/>
        <v>avg</v>
      </c>
      <c r="J22" s="1" t="str">
        <f t="shared" si="0"/>
        <v>Idc</v>
      </c>
      <c r="K22" s="1">
        <v>0.33800000000000002</v>
      </c>
      <c r="L22" s="1" t="s">
        <v>10</v>
      </c>
    </row>
    <row r="24" spans="3:12" x14ac:dyDescent="0.4">
      <c r="C24" s="1" t="s">
        <v>8</v>
      </c>
      <c r="D24" s="1" t="s">
        <v>14</v>
      </c>
      <c r="I24" s="1" t="str">
        <f t="shared" si="1"/>
        <v>p-p</v>
      </c>
      <c r="J24" s="1" t="str">
        <f t="shared" si="0"/>
        <v>Vo</v>
      </c>
      <c r="K24" s="1">
        <v>5.6</v>
      </c>
      <c r="L24" s="1" t="s">
        <v>4</v>
      </c>
    </row>
    <row r="25" spans="3:12" x14ac:dyDescent="0.4">
      <c r="C25" s="1" t="s">
        <v>11</v>
      </c>
      <c r="D25" s="1" t="s">
        <v>14</v>
      </c>
      <c r="I25" s="1" t="str">
        <f t="shared" si="1"/>
        <v>avg</v>
      </c>
      <c r="J25" s="1" t="str">
        <f t="shared" si="0"/>
        <v>Vo</v>
      </c>
      <c r="K25" s="1">
        <v>1.159</v>
      </c>
      <c r="L25" s="1" t="s">
        <v>4</v>
      </c>
    </row>
    <row r="27" spans="3:12" x14ac:dyDescent="0.4">
      <c r="C27" s="1" t="s">
        <v>8</v>
      </c>
      <c r="D27" s="1" t="s">
        <v>20</v>
      </c>
      <c r="I27" s="1" t="str">
        <f t="shared" si="1"/>
        <v>p-p</v>
      </c>
      <c r="J27" s="1" t="str">
        <f t="shared" si="0"/>
        <v>Isec</v>
      </c>
      <c r="K27" s="1">
        <v>3.1</v>
      </c>
      <c r="L27" s="1" t="s">
        <v>10</v>
      </c>
    </row>
    <row r="28" spans="3:12" x14ac:dyDescent="0.4">
      <c r="C28" s="1" t="s">
        <v>11</v>
      </c>
      <c r="D28" s="1" t="s">
        <v>20</v>
      </c>
      <c r="I28" s="1" t="str">
        <f t="shared" si="1"/>
        <v>avg</v>
      </c>
      <c r="J28" s="1" t="str">
        <f t="shared" si="0"/>
        <v>Isec</v>
      </c>
      <c r="K28" s="1">
        <v>0.27200000000000002</v>
      </c>
      <c r="L28" s="1" t="s">
        <v>10</v>
      </c>
    </row>
    <row r="29" spans="3:12" x14ac:dyDescent="0.4">
      <c r="C29" s="1" t="s">
        <v>12</v>
      </c>
      <c r="D29" s="1" t="s">
        <v>20</v>
      </c>
      <c r="I29" s="1" t="str">
        <f t="shared" si="1"/>
        <v>rms</v>
      </c>
      <c r="J29" s="1" t="str">
        <f t="shared" si="0"/>
        <v>Isec</v>
      </c>
      <c r="K29" s="1">
        <v>0.93500000000000005</v>
      </c>
      <c r="L29" s="1" t="s">
        <v>10</v>
      </c>
    </row>
  </sheetData>
  <mergeCells count="4">
    <mergeCell ref="F2:H2"/>
    <mergeCell ref="D4:F4"/>
    <mergeCell ref="J4:L4"/>
    <mergeCell ref="O9:S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18kHz</vt:lpstr>
      <vt:lpstr>30kHz</vt:lpstr>
      <vt:lpstr>12 kHz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</dc:creator>
  <cp:lastModifiedBy>Aditya Kumar</cp:lastModifiedBy>
  <dcterms:created xsi:type="dcterms:W3CDTF">2015-06-05T18:17:20Z</dcterms:created>
  <dcterms:modified xsi:type="dcterms:W3CDTF">2025-10-28T18:16:03Z</dcterms:modified>
</cp:coreProperties>
</file>