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1_M.Tech 4th Sem\MTP_Design and Development of LLC Resonant Converter for EV Charging\MTP_MyMaterial\LLC\"/>
    </mc:Choice>
  </mc:AlternateContent>
  <xr:revisionPtr revIDLastSave="0" documentId="13_ncr:1_{C621CB19-392F-4C9F-A1DD-7DD7EF3CC02F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400V-48V" sheetId="1" r:id="rId1"/>
    <sheet name="60V-6V" sheetId="2" r:id="rId2"/>
    <sheet name="30V-3V" sheetId="3" r:id="rId3"/>
    <sheet name="120V-12V" sheetId="4" r:id="rId4"/>
    <sheet name="Final_60V-6V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5" l="1"/>
  <c r="E24" i="5"/>
  <c r="L5" i="5"/>
  <c r="M5" i="5" s="1"/>
  <c r="U9" i="4"/>
  <c r="U6" i="4"/>
  <c r="U7" i="4"/>
  <c r="G51" i="4"/>
  <c r="G48" i="4"/>
  <c r="D40" i="4"/>
  <c r="N38" i="4"/>
  <c r="D28" i="4"/>
  <c r="L52" i="4" s="1"/>
  <c r="L53" i="4" s="1"/>
  <c r="E24" i="4"/>
  <c r="Q21" i="4"/>
  <c r="L5" i="4"/>
  <c r="M5" i="4" s="1"/>
  <c r="N16" i="4" s="1"/>
  <c r="N20" i="4" s="1"/>
  <c r="N21" i="4" s="1"/>
  <c r="N22" i="4" s="1"/>
  <c r="G51" i="3"/>
  <c r="D40" i="3"/>
  <c r="N38" i="3"/>
  <c r="D28" i="3"/>
  <c r="L52" i="3" s="1"/>
  <c r="L53" i="3" s="1"/>
  <c r="E24" i="3"/>
  <c r="Q21" i="3"/>
  <c r="N15" i="3"/>
  <c r="L5" i="3"/>
  <c r="M5" i="3" s="1"/>
  <c r="N20" i="2"/>
  <c r="L5" i="2"/>
  <c r="M5" i="2" s="1"/>
  <c r="N15" i="2"/>
  <c r="Q21" i="2"/>
  <c r="D28" i="2"/>
  <c r="D29" i="5" l="1"/>
  <c r="L10" i="5"/>
  <c r="E17" i="5" s="1"/>
  <c r="E23" i="5" s="1"/>
  <c r="D32" i="5"/>
  <c r="D33" i="5" s="1"/>
  <c r="N16" i="5"/>
  <c r="N20" i="5" s="1"/>
  <c r="N21" i="5" s="1"/>
  <c r="L9" i="5"/>
  <c r="E20" i="5" s="1"/>
  <c r="L10" i="4"/>
  <c r="E17" i="4" s="1"/>
  <c r="E23" i="4" s="1"/>
  <c r="U8" i="4"/>
  <c r="M47" i="4"/>
  <c r="L9" i="4"/>
  <c r="E20" i="4" s="1"/>
  <c r="D29" i="4"/>
  <c r="D32" i="4" s="1"/>
  <c r="N16" i="3"/>
  <c r="L10" i="3"/>
  <c r="E17" i="3" s="1"/>
  <c r="E23" i="3" s="1"/>
  <c r="L9" i="3"/>
  <c r="E20" i="3" s="1"/>
  <c r="M47" i="3"/>
  <c r="G48" i="3"/>
  <c r="D29" i="3"/>
  <c r="D32" i="3" s="1"/>
  <c r="G51" i="2"/>
  <c r="G48" i="2"/>
  <c r="D40" i="2"/>
  <c r="N38" i="2"/>
  <c r="L52" i="2"/>
  <c r="L53" i="2" s="1"/>
  <c r="E24" i="2"/>
  <c r="N21" i="1"/>
  <c r="N20" i="1"/>
  <c r="N22" i="1"/>
  <c r="N22" i="5" l="1"/>
  <c r="D30" i="5" s="1"/>
  <c r="D31" i="5" s="1"/>
  <c r="L29" i="5" s="1"/>
  <c r="L28" i="5"/>
  <c r="L31" i="5"/>
  <c r="M48" i="4"/>
  <c r="D33" i="4"/>
  <c r="S16" i="4"/>
  <c r="D33" i="3"/>
  <c r="M48" i="3"/>
  <c r="N20" i="3"/>
  <c r="S16" i="3"/>
  <c r="M47" i="2"/>
  <c r="N16" i="2"/>
  <c r="L10" i="2"/>
  <c r="L9" i="2"/>
  <c r="E20" i="2" s="1"/>
  <c r="D29" i="2"/>
  <c r="D32" i="2" s="1"/>
  <c r="L5" i="1"/>
  <c r="L53" i="1"/>
  <c r="L52" i="1"/>
  <c r="M48" i="1"/>
  <c r="M47" i="1"/>
  <c r="M5" i="1"/>
  <c r="G48" i="1"/>
  <c r="G51" i="1"/>
  <c r="N38" i="1"/>
  <c r="D40" i="1"/>
  <c r="D28" i="1"/>
  <c r="N15" i="1"/>
  <c r="E24" i="1"/>
  <c r="L10" i="1"/>
  <c r="E17" i="1" s="1"/>
  <c r="E23" i="1" s="1"/>
  <c r="L30" i="5" l="1"/>
  <c r="S18" i="4"/>
  <c r="S18" i="3"/>
  <c r="N21" i="3"/>
  <c r="S16" i="2"/>
  <c r="E17" i="2"/>
  <c r="E23" i="2" s="1"/>
  <c r="M48" i="2"/>
  <c r="D33" i="2"/>
  <c r="E54" i="1"/>
  <c r="D29" i="1"/>
  <c r="D32" i="1" s="1"/>
  <c r="D33" i="1" s="1"/>
  <c r="N16" i="1"/>
  <c r="L9" i="1"/>
  <c r="E20" i="1" s="1"/>
  <c r="L28" i="4" l="1"/>
  <c r="L28" i="3"/>
  <c r="N22" i="3"/>
  <c r="S18" i="2"/>
  <c r="N21" i="2"/>
  <c r="D45" i="1"/>
  <c r="D48" i="1" s="1"/>
  <c r="H48" i="1" s="1"/>
  <c r="D30" i="1"/>
  <c r="D31" i="1" s="1"/>
  <c r="L28" i="1"/>
  <c r="D30" i="4" l="1"/>
  <c r="D31" i="4" s="1"/>
  <c r="E54" i="4"/>
  <c r="D45" i="4"/>
  <c r="D48" i="4" s="1"/>
  <c r="H48" i="4" s="1"/>
  <c r="D30" i="3"/>
  <c r="D31" i="3" s="1"/>
  <c r="D45" i="3"/>
  <c r="D48" i="3" s="1"/>
  <c r="H48" i="3" s="1"/>
  <c r="E54" i="3"/>
  <c r="N22" i="2"/>
  <c r="L28" i="2"/>
  <c r="L31" i="1"/>
  <c r="N39" i="1"/>
  <c r="D38" i="1"/>
  <c r="D39" i="1" s="1"/>
  <c r="L29" i="1"/>
  <c r="L30" i="1" s="1"/>
  <c r="L31" i="4" l="1"/>
  <c r="N39" i="4"/>
  <c r="D38" i="4"/>
  <c r="D39" i="4" s="1"/>
  <c r="L29" i="4"/>
  <c r="L30" i="4" s="1"/>
  <c r="L31" i="3"/>
  <c r="N39" i="3"/>
  <c r="D38" i="3"/>
  <c r="D39" i="3" s="1"/>
  <c r="L29" i="3"/>
  <c r="L30" i="3" s="1"/>
  <c r="D45" i="2"/>
  <c r="D48" i="2" s="1"/>
  <c r="H48" i="2" s="1"/>
  <c r="D30" i="2"/>
  <c r="E54" i="2"/>
  <c r="D31" i="2" l="1"/>
  <c r="L31" i="2"/>
  <c r="L29" i="2" l="1"/>
  <c r="L30" i="2" s="1"/>
  <c r="N39" i="2"/>
  <c r="D38" i="2"/>
  <c r="D39" i="2" s="1"/>
</calcChain>
</file>

<file path=xl/sharedStrings.xml><?xml version="1.0" encoding="utf-8"?>
<sst xmlns="http://schemas.openxmlformats.org/spreadsheetml/2006/main" count="837" uniqueCount="107">
  <si>
    <t>Specifications</t>
  </si>
  <si>
    <t>Vin</t>
  </si>
  <si>
    <t>V</t>
  </si>
  <si>
    <t>Vout</t>
  </si>
  <si>
    <t>Vin_nom</t>
  </si>
  <si>
    <t>Vout_nom</t>
  </si>
  <si>
    <t>Pout</t>
  </si>
  <si>
    <t>W</t>
  </si>
  <si>
    <t>Fr</t>
  </si>
  <si>
    <t>kHz</t>
  </si>
  <si>
    <t>N1/N2</t>
  </si>
  <si>
    <t>=</t>
  </si>
  <si>
    <t>1. Transformer turns ratio</t>
  </si>
  <si>
    <t>2. Max and min gain</t>
  </si>
  <si>
    <t>Mg,max</t>
  </si>
  <si>
    <t>Mg,min</t>
  </si>
  <si>
    <t>3. Selection of Ln and Qe</t>
  </si>
  <si>
    <t>By Gain vs fn graph --&gt;</t>
  </si>
  <si>
    <t>Let</t>
  </si>
  <si>
    <t>Ln</t>
  </si>
  <si>
    <t>Qe</t>
  </si>
  <si>
    <t>fn,max</t>
  </si>
  <si>
    <t>by graph</t>
  </si>
  <si>
    <t>Mg,ap</t>
  </si>
  <si>
    <t>For Qe = 0.42</t>
  </si>
  <si>
    <t>while</t>
  </si>
  <si>
    <t>So</t>
  </si>
  <si>
    <t>fn,min</t>
  </si>
  <si>
    <t>from the intersection of Mg,max line and Qe = 0.42 curve</t>
  </si>
  <si>
    <t>fs,min</t>
  </si>
  <si>
    <t>fs,max</t>
  </si>
  <si>
    <t>Re</t>
  </si>
  <si>
    <t>5. Tank parameters</t>
  </si>
  <si>
    <t>Cr</t>
  </si>
  <si>
    <t>nF</t>
  </si>
  <si>
    <t>Lr</t>
  </si>
  <si>
    <t>uH</t>
  </si>
  <si>
    <t>Lm</t>
  </si>
  <si>
    <t>6. Calculation of primary and secondary side currents</t>
  </si>
  <si>
    <t>Ip1</t>
  </si>
  <si>
    <t>Io</t>
  </si>
  <si>
    <t>A</t>
  </si>
  <si>
    <t>ohm</t>
  </si>
  <si>
    <t>Im</t>
  </si>
  <si>
    <t>Ir</t>
  </si>
  <si>
    <t>rms magnetizing current</t>
  </si>
  <si>
    <t>rated resonant current</t>
  </si>
  <si>
    <t>secondary winding current</t>
  </si>
  <si>
    <t>Is1</t>
  </si>
  <si>
    <t>T/f rated current in each wdg.</t>
  </si>
  <si>
    <t>Is,rated</t>
  </si>
  <si>
    <t>load current</t>
  </si>
  <si>
    <t>primary winding current</t>
  </si>
  <si>
    <t>7. Selection of resonant inductor</t>
  </si>
  <si>
    <t>V_Lr</t>
  </si>
  <si>
    <t>at fs,min</t>
  </si>
  <si>
    <t>at fs,max</t>
  </si>
  <si>
    <t>I_Lr</t>
  </si>
  <si>
    <t>HB LLC Design parameters</t>
  </si>
  <si>
    <t>8. Selection of resonant capacitor</t>
  </si>
  <si>
    <t>V_Cr</t>
  </si>
  <si>
    <t>V_Cr,rms</t>
  </si>
  <si>
    <t>V_Cr,pk</t>
  </si>
  <si>
    <t>voltage across cap. at rated current</t>
  </si>
  <si>
    <t>9. Selection of primary-side MOSFETs</t>
  </si>
  <si>
    <t>V_Q1,pk</t>
  </si>
  <si>
    <t>V_Q2,pk</t>
  </si>
  <si>
    <t>Vin,pk</t>
  </si>
  <si>
    <t>I_Q1,rms</t>
  </si>
  <si>
    <t>I_Q2,rms</t>
  </si>
  <si>
    <t>So, MOSFET voltage blocking cap &gt; 500 V and current rating &gt; 10 A</t>
  </si>
  <si>
    <t>10. Dead time calculation for ZVS operation</t>
  </si>
  <si>
    <t>Im,min</t>
  </si>
  <si>
    <t>To verify -</t>
  </si>
  <si>
    <t>0.5(Lm+Lr)Im,pk^2</t>
  </si>
  <si>
    <t>&gt;</t>
  </si>
  <si>
    <t>Note:</t>
  </si>
  <si>
    <t xml:space="preserve">For 500V MOSFET, Cds approx 200pF and Ceq = 2*Cds </t>
  </si>
  <si>
    <t>pF</t>
  </si>
  <si>
    <t>Cds =</t>
  </si>
  <si>
    <t>Ceq =</t>
  </si>
  <si>
    <t>0.5(2Ceq)Vin,max^2</t>
  </si>
  <si>
    <t>t_dead</t>
  </si>
  <si>
    <t>nsec</t>
  </si>
  <si>
    <t>16*Ceq*fsw,max*Lm</t>
  </si>
  <si>
    <t>(peak)</t>
  </si>
  <si>
    <t>R_load</t>
  </si>
  <si>
    <t>4. Re calculation</t>
  </si>
  <si>
    <t>11. Selection of rectifier diodes</t>
  </si>
  <si>
    <t>Let D_R1 is conducting and D_R2 is blocking voltage</t>
  </si>
  <si>
    <t>By KVL:</t>
  </si>
  <si>
    <t>V_DR2</t>
  </si>
  <si>
    <t>Id,av</t>
  </si>
  <si>
    <t>voltage blocking</t>
  </si>
  <si>
    <t>current rating</t>
  </si>
  <si>
    <t>12. Selection of output filter capacitor</t>
  </si>
  <si>
    <t>Io'</t>
  </si>
  <si>
    <t>full wave output current</t>
  </si>
  <si>
    <t>cap. rms current at resonance</t>
  </si>
  <si>
    <t>I_Co</t>
  </si>
  <si>
    <t>Single capacitor will not able to handle this much current, so multiple-caps in parallel</t>
  </si>
  <si>
    <t>If</t>
  </si>
  <si>
    <t>then</t>
  </si>
  <si>
    <t>Vo</t>
  </si>
  <si>
    <t>Po</t>
  </si>
  <si>
    <t>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</si>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</sst>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55"/>
  <sheetViews>
    <sheetView zoomScale="120" zoomScaleNormal="120" workbookViewId="0">
      <selection activeCell="L18" sqref="L18:O18"/>
    </sheetView>
  </sheetViews>
  <sheetFormatPr defaultColWidth="8.88671875" defaultRowHeight="14.4" x14ac:dyDescent="0.3"/>
  <cols>
    <col min="1" max="2" width="8.88671875" style="1"/>
    <col min="3" max="3" width="10" style="1" bestFit="1" customWidth="1"/>
    <col min="4" max="5" width="12" style="1" bestFit="1" customWidth="1"/>
    <col min="6" max="6" width="8.88671875" style="1"/>
    <col min="7" max="7" width="10.88671875" style="1" bestFit="1" customWidth="1"/>
    <col min="8" max="8" width="11.6640625" style="1" customWidth="1"/>
    <col min="9" max="11" width="8.88671875" style="1"/>
    <col min="12" max="12" width="12" style="1" bestFit="1" customWidth="1"/>
    <col min="13" max="13" width="8.88671875" style="1"/>
    <col min="14" max="14" width="12" style="1" bestFit="1" customWidth="1"/>
    <col min="15" max="16384" width="8.88671875" style="1"/>
  </cols>
  <sheetData>
    <row r="1" spans="2:15" ht="26.4" thickBot="1" x14ac:dyDescent="0.35">
      <c r="E1" s="28" t="s">
        <v>58</v>
      </c>
      <c r="F1" s="29"/>
      <c r="G1" s="29"/>
      <c r="H1" s="29"/>
      <c r="I1" s="29"/>
      <c r="J1" s="29"/>
      <c r="K1" s="29"/>
      <c r="L1" s="29"/>
      <c r="M1" s="30"/>
    </row>
    <row r="2" spans="2:15" ht="15" thickBot="1" x14ac:dyDescent="0.35"/>
    <row r="3" spans="2:15" ht="15" thickBot="1" x14ac:dyDescent="0.35">
      <c r="C3" s="31" t="s">
        <v>0</v>
      </c>
      <c r="D3" s="32"/>
      <c r="E3" s="32"/>
      <c r="F3" s="32"/>
      <c r="G3" s="33"/>
      <c r="J3" s="23" t="s">
        <v>12</v>
      </c>
      <c r="K3" s="24"/>
      <c r="L3" s="25"/>
    </row>
    <row r="4" spans="2:15" x14ac:dyDescent="0.3">
      <c r="C4" s="11" t="s">
        <v>1</v>
      </c>
      <c r="E4" s="1">
        <v>390</v>
      </c>
      <c r="F4" s="1">
        <v>410</v>
      </c>
      <c r="G4" s="12" t="s">
        <v>2</v>
      </c>
    </row>
    <row r="5" spans="2:15" x14ac:dyDescent="0.3">
      <c r="C5" s="11" t="s">
        <v>3</v>
      </c>
      <c r="E5" s="1">
        <v>36</v>
      </c>
      <c r="F5" s="1">
        <v>57</v>
      </c>
      <c r="G5" s="12" t="s">
        <v>2</v>
      </c>
      <c r="J5" s="1" t="s">
        <v>10</v>
      </c>
      <c r="K5" s="1" t="s">
        <v>11</v>
      </c>
      <c r="L5" s="1">
        <f>E6/(2*E7)</f>
        <v>4.166666666666667</v>
      </c>
      <c r="M5" s="5">
        <f>ROUNDUP(L5, 0)</f>
        <v>5</v>
      </c>
    </row>
    <row r="6" spans="2:15" x14ac:dyDescent="0.3">
      <c r="C6" s="11" t="s">
        <v>4</v>
      </c>
      <c r="E6" s="1">
        <v>400</v>
      </c>
      <c r="G6" s="12" t="s">
        <v>2</v>
      </c>
    </row>
    <row r="7" spans="2:15" x14ac:dyDescent="0.3">
      <c r="C7" s="11" t="s">
        <v>5</v>
      </c>
      <c r="E7" s="1">
        <v>48</v>
      </c>
      <c r="G7" s="12" t="s">
        <v>2</v>
      </c>
      <c r="J7" s="23" t="s">
        <v>13</v>
      </c>
      <c r="K7" s="24"/>
      <c r="L7" s="25"/>
    </row>
    <row r="8" spans="2:15" x14ac:dyDescent="0.3">
      <c r="C8" s="11" t="s">
        <v>6</v>
      </c>
      <c r="E8" s="1">
        <v>1200</v>
      </c>
      <c r="G8" s="12" t="s">
        <v>7</v>
      </c>
    </row>
    <row r="9" spans="2:15" ht="15" thickBot="1" x14ac:dyDescent="0.35">
      <c r="C9" s="13" t="s">
        <v>8</v>
      </c>
      <c r="D9" s="14"/>
      <c r="E9" s="14">
        <v>100</v>
      </c>
      <c r="F9" s="14"/>
      <c r="G9" s="15" t="s">
        <v>9</v>
      </c>
      <c r="J9" s="1" t="s">
        <v>14</v>
      </c>
      <c r="K9" s="1" t="s">
        <v>11</v>
      </c>
      <c r="L9" s="8">
        <f>M5*F5*2/E4</f>
        <v>1.4615384615384615</v>
      </c>
    </row>
    <row r="10" spans="2:15" x14ac:dyDescent="0.3">
      <c r="J10" s="1" t="s">
        <v>15</v>
      </c>
      <c r="K10" s="1" t="s">
        <v>11</v>
      </c>
      <c r="L10" s="8">
        <f>M5*2*E5/F4</f>
        <v>0.87804878048780488</v>
      </c>
    </row>
    <row r="12" spans="2:15" x14ac:dyDescent="0.3">
      <c r="B12" s="23" t="s">
        <v>16</v>
      </c>
      <c r="C12" s="24"/>
      <c r="D12" s="24"/>
      <c r="E12" s="25"/>
    </row>
    <row r="13" spans="2:15" x14ac:dyDescent="0.3">
      <c r="L13" s="23" t="s">
        <v>87</v>
      </c>
      <c r="M13" s="24"/>
      <c r="N13" s="24"/>
      <c r="O13" s="25"/>
    </row>
    <row r="14" spans="2:15" x14ac:dyDescent="0.3">
      <c r="B14" s="21" t="s">
        <v>17</v>
      </c>
      <c r="C14" s="21"/>
      <c r="D14" s="21"/>
      <c r="E14" s="1" t="s">
        <v>18</v>
      </c>
      <c r="F14" s="1" t="s">
        <v>19</v>
      </c>
      <c r="G14" s="1" t="s">
        <v>11</v>
      </c>
      <c r="H14" s="5">
        <v>4</v>
      </c>
    </row>
    <row r="15" spans="2:15" x14ac:dyDescent="0.3">
      <c r="F15" s="1" t="s">
        <v>20</v>
      </c>
      <c r="G15" s="1" t="s">
        <v>11</v>
      </c>
      <c r="H15" s="5">
        <v>0.42</v>
      </c>
      <c r="L15" s="1" t="s">
        <v>86</v>
      </c>
      <c r="M15" s="1" t="s">
        <v>11</v>
      </c>
      <c r="N15" s="1">
        <f>E7^2/E8</f>
        <v>1.92</v>
      </c>
      <c r="O15" s="1" t="s">
        <v>42</v>
      </c>
    </row>
    <row r="16" spans="2:15" x14ac:dyDescent="0.3">
      <c r="L16" s="1" t="s">
        <v>31</v>
      </c>
      <c r="M16" s="1" t="s">
        <v>11</v>
      </c>
      <c r="N16" s="9">
        <f>(8*M5^2*N15)/(PI()^2)</f>
        <v>38.907334518657706</v>
      </c>
      <c r="O16" s="1" t="s">
        <v>42</v>
      </c>
    </row>
    <row r="17" spans="2:15" x14ac:dyDescent="0.3">
      <c r="C17" s="1" t="s">
        <v>21</v>
      </c>
      <c r="D17" s="1" t="s">
        <v>11</v>
      </c>
      <c r="E17" s="5">
        <f>SQRT(L10/(L10*(H14+1)-H14))</f>
        <v>1.4999999999999993</v>
      </c>
    </row>
    <row r="18" spans="2:15" x14ac:dyDescent="0.3">
      <c r="E18" s="5"/>
      <c r="L18" s="23" t="s">
        <v>32</v>
      </c>
      <c r="M18" s="24"/>
      <c r="N18" s="24"/>
      <c r="O18" s="25"/>
    </row>
    <row r="19" spans="2:15" x14ac:dyDescent="0.3">
      <c r="C19" s="1" t="s">
        <v>23</v>
      </c>
      <c r="D19" s="1" t="s">
        <v>11</v>
      </c>
      <c r="E19" s="1">
        <v>1.4850000000000001</v>
      </c>
      <c r="F19" s="1" t="s">
        <v>22</v>
      </c>
      <c r="G19" s="21" t="s">
        <v>24</v>
      </c>
      <c r="H19" s="21"/>
    </row>
    <row r="20" spans="2:15" x14ac:dyDescent="0.3">
      <c r="B20" s="1" t="s">
        <v>25</v>
      </c>
      <c r="C20" s="1" t="s">
        <v>14</v>
      </c>
      <c r="D20" s="1" t="s">
        <v>11</v>
      </c>
      <c r="E20" s="6">
        <f>L9</f>
        <v>1.4615384615384615</v>
      </c>
      <c r="L20" s="1" t="s">
        <v>33</v>
      </c>
      <c r="M20" s="1" t="s">
        <v>11</v>
      </c>
      <c r="N20" s="9">
        <f>10^9/(2*PI()*E9*1000*N16*H15)</f>
        <v>97.395605580040694</v>
      </c>
      <c r="O20" s="1" t="s">
        <v>34</v>
      </c>
    </row>
    <row r="21" spans="2:15" x14ac:dyDescent="0.3">
      <c r="B21" s="1" t="s">
        <v>26</v>
      </c>
      <c r="C21" s="1" t="s">
        <v>27</v>
      </c>
      <c r="D21" s="1" t="s">
        <v>11</v>
      </c>
      <c r="E21" s="5">
        <v>0.5554</v>
      </c>
      <c r="F21" s="21" t="s">
        <v>28</v>
      </c>
      <c r="G21" s="21"/>
      <c r="H21" s="21"/>
      <c r="I21" s="21"/>
      <c r="J21" s="21"/>
      <c r="K21" s="21"/>
      <c r="L21" s="1" t="s">
        <v>35</v>
      </c>
      <c r="M21" s="1" t="s">
        <v>11</v>
      </c>
      <c r="N21" s="9">
        <f>10^6/((2*PI()*E9*1000)^2*N20*10^-9)</f>
        <v>26.00763736693207</v>
      </c>
      <c r="O21" s="1" t="s">
        <v>36</v>
      </c>
    </row>
    <row r="22" spans="2:15" x14ac:dyDescent="0.3">
      <c r="L22" s="1" t="s">
        <v>37</v>
      </c>
      <c r="M22" s="1" t="s">
        <v>11</v>
      </c>
      <c r="N22" s="9">
        <f>H14*N21</f>
        <v>104.03054946772828</v>
      </c>
      <c r="O22" s="1" t="s">
        <v>36</v>
      </c>
    </row>
    <row r="23" spans="2:15" x14ac:dyDescent="0.3">
      <c r="B23" s="1" t="s">
        <v>26</v>
      </c>
      <c r="C23" s="1" t="s">
        <v>30</v>
      </c>
      <c r="D23" s="1" t="s">
        <v>11</v>
      </c>
      <c r="E23" s="5">
        <f>E17*E9</f>
        <v>149.99999999999994</v>
      </c>
      <c r="F23" s="1" t="s">
        <v>9</v>
      </c>
    </row>
    <row r="24" spans="2:15" x14ac:dyDescent="0.3">
      <c r="C24" s="1" t="s">
        <v>29</v>
      </c>
      <c r="D24" s="1" t="s">
        <v>11</v>
      </c>
      <c r="E24" s="5">
        <f>E21*E9</f>
        <v>55.54</v>
      </c>
      <c r="F24" s="1" t="s">
        <v>9</v>
      </c>
    </row>
    <row r="26" spans="2:15" x14ac:dyDescent="0.3">
      <c r="B26" s="23" t="s">
        <v>38</v>
      </c>
      <c r="C26" s="24"/>
      <c r="D26" s="24"/>
      <c r="E26" s="24"/>
      <c r="F26" s="24"/>
      <c r="G26" s="25"/>
      <c r="J26" s="23" t="s">
        <v>53</v>
      </c>
      <c r="K26" s="24"/>
      <c r="L26" s="24"/>
      <c r="M26" s="25"/>
    </row>
    <row r="28" spans="2:15" x14ac:dyDescent="0.3">
      <c r="B28" s="1" t="s">
        <v>40</v>
      </c>
      <c r="C28" s="1" t="s">
        <v>11</v>
      </c>
      <c r="D28" s="5">
        <f>E8/E7</f>
        <v>25</v>
      </c>
      <c r="E28" s="1" t="s">
        <v>41</v>
      </c>
      <c r="F28" s="21" t="s">
        <v>51</v>
      </c>
      <c r="G28" s="21"/>
      <c r="H28" s="21"/>
      <c r="J28" s="1" t="s">
        <v>35</v>
      </c>
      <c r="K28" s="1" t="s">
        <v>11</v>
      </c>
      <c r="L28" s="7">
        <f>N21</f>
        <v>26.00763736693207</v>
      </c>
      <c r="M28" s="1" t="s">
        <v>36</v>
      </c>
    </row>
    <row r="29" spans="2:15" x14ac:dyDescent="0.3">
      <c r="B29" s="1" t="s">
        <v>39</v>
      </c>
      <c r="C29" s="1" t="s">
        <v>11</v>
      </c>
      <c r="D29" s="7">
        <f>(PI()*D28)/(2*SQRT(2)*M5)</f>
        <v>5.5536036726979576</v>
      </c>
      <c r="E29" s="1" t="s">
        <v>41</v>
      </c>
      <c r="F29" s="21" t="s">
        <v>52</v>
      </c>
      <c r="G29" s="21"/>
      <c r="H29" s="21"/>
      <c r="J29" s="1" t="s">
        <v>57</v>
      </c>
      <c r="K29" s="1" t="s">
        <v>11</v>
      </c>
      <c r="L29" s="9">
        <f>D31</f>
        <v>8.1405341547750236</v>
      </c>
      <c r="M29" s="1" t="s">
        <v>41</v>
      </c>
    </row>
    <row r="30" spans="2:15" x14ac:dyDescent="0.3">
      <c r="B30" s="1" t="s">
        <v>43</v>
      </c>
      <c r="C30" s="1" t="s">
        <v>11</v>
      </c>
      <c r="D30" s="9">
        <f>(2*SQRT(2)*M5*E7)/(2*PI()*E24*1000*N22*10^-6*PI())</f>
        <v>5.9519561970544155</v>
      </c>
      <c r="E30" s="1" t="s">
        <v>41</v>
      </c>
      <c r="F30" s="21" t="s">
        <v>45</v>
      </c>
      <c r="G30" s="21"/>
      <c r="H30" s="21"/>
      <c r="J30" s="1" t="s">
        <v>54</v>
      </c>
      <c r="K30" s="1" t="s">
        <v>11</v>
      </c>
      <c r="L30" s="7">
        <f>2*PI()*E24*1000*L28*10^-6*L29</f>
        <v>73.882153824370405</v>
      </c>
      <c r="M30" s="1" t="s">
        <v>2</v>
      </c>
      <c r="N30" s="1" t="s">
        <v>55</v>
      </c>
    </row>
    <row r="31" spans="2:15" x14ac:dyDescent="0.3">
      <c r="B31" s="1" t="s">
        <v>44</v>
      </c>
      <c r="C31" s="1" t="s">
        <v>11</v>
      </c>
      <c r="D31" s="9">
        <f>SQRT(D30^2+D29^2)</f>
        <v>8.1405341547750236</v>
      </c>
      <c r="E31" s="1" t="s">
        <v>41</v>
      </c>
      <c r="F31" s="21" t="s">
        <v>46</v>
      </c>
      <c r="G31" s="21"/>
      <c r="H31" s="21"/>
      <c r="J31" s="1" t="s">
        <v>54</v>
      </c>
      <c r="K31" s="1" t="s">
        <v>11</v>
      </c>
      <c r="L31" s="7">
        <f>2*PI()*E23*1000*L28*10^-6*D30</f>
        <v>145.89209300349208</v>
      </c>
      <c r="M31" s="1" t="s">
        <v>2</v>
      </c>
      <c r="N31" s="1" t="s">
        <v>56</v>
      </c>
    </row>
    <row r="32" spans="2:15" x14ac:dyDescent="0.3">
      <c r="B32" s="1" t="s">
        <v>48</v>
      </c>
      <c r="C32" s="1" t="s">
        <v>11</v>
      </c>
      <c r="D32" s="7">
        <f>M5*D29</f>
        <v>27.768018363489787</v>
      </c>
      <c r="E32" s="1" t="s">
        <v>41</v>
      </c>
      <c r="F32" s="21" t="s">
        <v>47</v>
      </c>
      <c r="G32" s="21"/>
      <c r="H32" s="21"/>
    </row>
    <row r="33" spans="2:16" x14ac:dyDescent="0.3">
      <c r="B33" s="1" t="s">
        <v>50</v>
      </c>
      <c r="C33" s="1" t="s">
        <v>11</v>
      </c>
      <c r="D33" s="7">
        <f>SQRT(2)*D32/2</f>
        <v>19.634954084936208</v>
      </c>
      <c r="E33" s="1" t="s">
        <v>41</v>
      </c>
      <c r="F33" s="21" t="s">
        <v>49</v>
      </c>
      <c r="G33" s="21"/>
      <c r="H33" s="21"/>
    </row>
    <row r="36" spans="2:16" x14ac:dyDescent="0.3">
      <c r="C36" s="23" t="s">
        <v>59</v>
      </c>
      <c r="D36" s="24"/>
      <c r="E36" s="24"/>
      <c r="F36" s="25"/>
      <c r="J36" s="22" t="s">
        <v>64</v>
      </c>
      <c r="K36" s="22"/>
      <c r="L36" s="22"/>
      <c r="M36" s="22"/>
      <c r="N36" s="22"/>
    </row>
    <row r="38" spans="2:16" x14ac:dyDescent="0.3">
      <c r="B38" s="1" t="s">
        <v>60</v>
      </c>
      <c r="C38" s="1" t="s">
        <v>11</v>
      </c>
      <c r="D38" s="5">
        <f>D31/(2*PI()*E24*1000*N20*10^-9)</f>
        <v>239.5122864936333</v>
      </c>
      <c r="E38" s="1" t="s">
        <v>2</v>
      </c>
      <c r="F38" s="21" t="s">
        <v>63</v>
      </c>
      <c r="G38" s="21"/>
      <c r="H38" s="21"/>
      <c r="J38" s="1" t="s">
        <v>65</v>
      </c>
      <c r="K38" s="1" t="s">
        <v>66</v>
      </c>
      <c r="L38" s="1" t="s">
        <v>67</v>
      </c>
      <c r="M38" s="1" t="s">
        <v>11</v>
      </c>
      <c r="N38" s="5">
        <f>F4</f>
        <v>410</v>
      </c>
      <c r="O38" s="1" t="s">
        <v>2</v>
      </c>
    </row>
    <row r="39" spans="2:16" x14ac:dyDescent="0.3">
      <c r="B39" s="1" t="s">
        <v>61</v>
      </c>
      <c r="C39" s="1" t="s">
        <v>11</v>
      </c>
      <c r="D39" s="1">
        <f>SQRT((F4/2)^2+D38^2)</f>
        <v>315.26359666382081</v>
      </c>
      <c r="E39" s="1" t="s">
        <v>2</v>
      </c>
      <c r="F39" s="21"/>
      <c r="G39" s="21"/>
      <c r="H39" s="21"/>
      <c r="J39" s="1" t="s">
        <v>68</v>
      </c>
      <c r="K39" s="1" t="s">
        <v>69</v>
      </c>
      <c r="L39" s="1" t="s">
        <v>44</v>
      </c>
      <c r="M39" s="7" t="s">
        <v>11</v>
      </c>
      <c r="N39" s="9">
        <f>D31</f>
        <v>8.1405341547750236</v>
      </c>
      <c r="O39" s="1" t="s">
        <v>41</v>
      </c>
    </row>
    <row r="40" spans="2:16" x14ac:dyDescent="0.3">
      <c r="B40" s="1" t="s">
        <v>62</v>
      </c>
      <c r="C40" s="1" t="s">
        <v>11</v>
      </c>
      <c r="D40" s="5">
        <f>F4/2+SQRT(2)*236.602</f>
        <v>539.60575728459912</v>
      </c>
      <c r="E40" s="1" t="s">
        <v>2</v>
      </c>
      <c r="F40" s="21"/>
      <c r="G40" s="21"/>
      <c r="H40" s="21"/>
    </row>
    <row r="41" spans="2:16" x14ac:dyDescent="0.3">
      <c r="J41" s="21" t="s">
        <v>70</v>
      </c>
      <c r="K41" s="21"/>
      <c r="L41" s="21"/>
      <c r="M41" s="21"/>
      <c r="N41" s="21"/>
      <c r="O41" s="21"/>
      <c r="P41" s="21"/>
    </row>
    <row r="43" spans="2:16" x14ac:dyDescent="0.3">
      <c r="C43" s="22" t="s">
        <v>71</v>
      </c>
      <c r="D43" s="22"/>
      <c r="E43" s="22"/>
      <c r="F43" s="22"/>
      <c r="J43" s="23" t="s">
        <v>88</v>
      </c>
      <c r="K43" s="24"/>
      <c r="L43" s="24"/>
      <c r="M43" s="24"/>
      <c r="N43" s="25"/>
    </row>
    <row r="45" spans="2:16" x14ac:dyDescent="0.3">
      <c r="B45" s="1" t="s">
        <v>72</v>
      </c>
      <c r="C45" s="1" t="s">
        <v>11</v>
      </c>
      <c r="D45" s="6">
        <f>(M5*E5)/(2*PI()*E23*1000*N22*10^-6)</f>
        <v>1.8358639138931108</v>
      </c>
      <c r="E45" s="1" t="s">
        <v>41</v>
      </c>
      <c r="F45" s="1" t="s">
        <v>85</v>
      </c>
      <c r="J45" s="21" t="s">
        <v>89</v>
      </c>
      <c r="K45" s="21"/>
      <c r="L45" s="21"/>
      <c r="M45" s="21"/>
      <c r="N45" s="21"/>
    </row>
    <row r="47" spans="2:16" x14ac:dyDescent="0.3">
      <c r="B47" s="1" t="s">
        <v>73</v>
      </c>
      <c r="C47" s="21" t="s">
        <v>74</v>
      </c>
      <c r="D47" s="21"/>
      <c r="E47" s="1" t="s">
        <v>75</v>
      </c>
      <c r="F47" s="21" t="s">
        <v>81</v>
      </c>
      <c r="G47" s="21"/>
      <c r="J47" s="1" t="s">
        <v>90</v>
      </c>
      <c r="K47" s="1" t="s">
        <v>91</v>
      </c>
      <c r="L47" s="1" t="s">
        <v>11</v>
      </c>
      <c r="M47" s="1">
        <f>F4/M5</f>
        <v>82</v>
      </c>
      <c r="N47" s="1" t="s">
        <v>2</v>
      </c>
      <c r="O47" s="21" t="s">
        <v>93</v>
      </c>
      <c r="P47" s="21"/>
    </row>
    <row r="48" spans="2:16" x14ac:dyDescent="0.3">
      <c r="C48" s="1" t="s">
        <v>11</v>
      </c>
      <c r="D48" s="1">
        <f>0.5*(N22+N21)*10^-6*D45^2</f>
        <v>2.1914011255509181E-4</v>
      </c>
      <c r="E48" s="1" t="s">
        <v>75</v>
      </c>
      <c r="F48" s="1" t="s">
        <v>11</v>
      </c>
      <c r="G48" s="1">
        <f>0.5*2*G51*10^-12*F4^2</f>
        <v>6.724E-5</v>
      </c>
      <c r="H48" s="1" t="str">
        <f>IF(D48 &gt; G48, "Yes", "No")</f>
        <v>Yes</v>
      </c>
      <c r="K48" s="1" t="s">
        <v>92</v>
      </c>
      <c r="L48" s="1" t="s">
        <v>11</v>
      </c>
      <c r="M48" s="1">
        <f>SQRT(2)*D32/PI()</f>
        <v>12.5</v>
      </c>
      <c r="N48" s="1" t="s">
        <v>41</v>
      </c>
      <c r="O48" s="21" t="s">
        <v>94</v>
      </c>
      <c r="P48" s="21"/>
    </row>
    <row r="50" spans="2:17" x14ac:dyDescent="0.3">
      <c r="B50" s="10" t="s">
        <v>76</v>
      </c>
      <c r="C50" s="26" t="s">
        <v>77</v>
      </c>
      <c r="D50" s="26"/>
      <c r="E50" s="26"/>
      <c r="F50" s="26"/>
      <c r="G50" s="26"/>
      <c r="H50" s="27"/>
      <c r="J50" s="23" t="s">
        <v>95</v>
      </c>
      <c r="K50" s="24"/>
      <c r="L50" s="24"/>
      <c r="M50" s="24"/>
      <c r="N50" s="25"/>
    </row>
    <row r="51" spans="2:17" x14ac:dyDescent="0.3">
      <c r="B51" s="2"/>
      <c r="C51" s="3" t="s">
        <v>79</v>
      </c>
      <c r="D51" s="3">
        <v>200</v>
      </c>
      <c r="E51" s="3" t="s">
        <v>78</v>
      </c>
      <c r="F51" s="3" t="s">
        <v>80</v>
      </c>
      <c r="G51" s="3">
        <f>2*D51</f>
        <v>400</v>
      </c>
      <c r="H51" s="4" t="s">
        <v>78</v>
      </c>
    </row>
    <row r="52" spans="2:17" x14ac:dyDescent="0.3">
      <c r="J52" s="1" t="s">
        <v>96</v>
      </c>
      <c r="K52" s="1" t="s">
        <v>11</v>
      </c>
      <c r="L52" s="1">
        <f>(PI()*D28)/(2*SQRT(2))</f>
        <v>27.768018363489787</v>
      </c>
      <c r="M52" s="21" t="s">
        <v>97</v>
      </c>
      <c r="N52" s="21"/>
      <c r="O52" s="21"/>
    </row>
    <row r="53" spans="2:17" x14ac:dyDescent="0.3">
      <c r="C53" s="1" t="s">
        <v>82</v>
      </c>
      <c r="D53" s="1" t="s">
        <v>75</v>
      </c>
      <c r="E53" s="21" t="s">
        <v>84</v>
      </c>
      <c r="F53" s="21"/>
      <c r="J53" s="1" t="s">
        <v>99</v>
      </c>
      <c r="K53" s="1" t="s">
        <v>11</v>
      </c>
      <c r="L53" s="1">
        <f>SQRT(L52^2-D28^2)</f>
        <v>12.085646190216973</v>
      </c>
      <c r="M53" s="21" t="s">
        <v>98</v>
      </c>
      <c r="N53" s="21"/>
      <c r="O53" s="21"/>
    </row>
    <row r="54" spans="2:17" x14ac:dyDescent="0.3">
      <c r="D54" s="1" t="s">
        <v>75</v>
      </c>
      <c r="E54" s="5">
        <f>ROUND(16*G51*10^-12*E23*1000*N22*10^-6*10^9, 0)</f>
        <v>100</v>
      </c>
      <c r="F54" s="1" t="s">
        <v>83</v>
      </c>
    </row>
    <row r="55" spans="2:17" x14ac:dyDescent="0.3">
      <c r="J55" s="21" t="s">
        <v>100</v>
      </c>
      <c r="K55" s="21"/>
      <c r="L55" s="21"/>
      <c r="M55" s="21"/>
      <c r="N55" s="21"/>
      <c r="O55" s="21"/>
      <c r="P55" s="21"/>
      <c r="Q55" s="21"/>
    </row>
  </sheetData>
  <mergeCells count="37">
    <mergeCell ref="F30:H30"/>
    <mergeCell ref="F31:H31"/>
    <mergeCell ref="F32:H32"/>
    <mergeCell ref="F33:H33"/>
    <mergeCell ref="F29:H29"/>
    <mergeCell ref="C43:F43"/>
    <mergeCell ref="C47:D47"/>
    <mergeCell ref="F47:G47"/>
    <mergeCell ref="E1:M1"/>
    <mergeCell ref="B14:D14"/>
    <mergeCell ref="B26:G26"/>
    <mergeCell ref="J26:M26"/>
    <mergeCell ref="C3:G3"/>
    <mergeCell ref="J3:L3"/>
    <mergeCell ref="J7:L7"/>
    <mergeCell ref="B12:E12"/>
    <mergeCell ref="F28:H28"/>
    <mergeCell ref="G19:H19"/>
    <mergeCell ref="F21:K21"/>
    <mergeCell ref="L13:O13"/>
    <mergeCell ref="L18:O18"/>
    <mergeCell ref="J55:Q55"/>
    <mergeCell ref="F38:H38"/>
    <mergeCell ref="F39:H39"/>
    <mergeCell ref="F40:H40"/>
    <mergeCell ref="J36:N36"/>
    <mergeCell ref="J41:P41"/>
    <mergeCell ref="C36:F36"/>
    <mergeCell ref="C50:H50"/>
    <mergeCell ref="E53:F53"/>
    <mergeCell ref="J43:N43"/>
    <mergeCell ref="J45:N45"/>
    <mergeCell ref="O47:P47"/>
    <mergeCell ref="O48:P48"/>
    <mergeCell ref="J50:N50"/>
    <mergeCell ref="M53:O53"/>
    <mergeCell ref="M52:O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32C47-7EF0-4A92-8F13-B1E3A2374733}">
  <dimension ref="B1:S55"/>
  <sheetViews>
    <sheetView zoomScaleNormal="100" workbookViewId="0">
      <selection activeCell="D16" sqref="D16"/>
    </sheetView>
  </sheetViews>
  <sheetFormatPr defaultColWidth="8.88671875" defaultRowHeight="14.4" x14ac:dyDescent="0.3"/>
  <cols>
    <col min="1" max="2" width="8.88671875" style="1"/>
    <col min="3" max="3" width="10" style="1" bestFit="1" customWidth="1"/>
    <col min="4" max="5" width="12" style="1" bestFit="1" customWidth="1"/>
    <col min="6" max="6" width="8.88671875" style="1"/>
    <col min="7" max="7" width="10.88671875" style="1" bestFit="1" customWidth="1"/>
    <col min="8" max="8" width="11.6640625" style="1" customWidth="1"/>
    <col min="9" max="11" width="8.88671875" style="1"/>
    <col min="12" max="12" width="12" style="1" bestFit="1" customWidth="1"/>
    <col min="13" max="13" width="8.88671875" style="1"/>
    <col min="14" max="14" width="12" style="1" bestFit="1" customWidth="1"/>
    <col min="15" max="16" width="8.88671875" style="1"/>
    <col min="17" max="17" width="12" style="1" bestFit="1" customWidth="1"/>
    <col min="18" max="18" width="8.88671875" style="1"/>
    <col min="19" max="19" width="12" style="1" bestFit="1" customWidth="1"/>
    <col min="20" max="16384" width="8.88671875" style="1"/>
  </cols>
  <sheetData>
    <row r="1" spans="2:19" ht="26.4" thickBot="1" x14ac:dyDescent="0.35">
      <c r="E1" s="28" t="s">
        <v>58</v>
      </c>
      <c r="F1" s="29"/>
      <c r="G1" s="29"/>
      <c r="H1" s="29"/>
      <c r="I1" s="29"/>
      <c r="J1" s="29"/>
      <c r="K1" s="29"/>
      <c r="L1" s="29"/>
      <c r="M1" s="30"/>
    </row>
    <row r="2" spans="2:19" ht="15" thickBot="1" x14ac:dyDescent="0.35"/>
    <row r="3" spans="2:19" ht="15" thickBot="1" x14ac:dyDescent="0.35">
      <c r="C3" s="31" t="s">
        <v>0</v>
      </c>
      <c r="D3" s="32"/>
      <c r="E3" s="32"/>
      <c r="F3" s="32"/>
      <c r="G3" s="33"/>
      <c r="J3" s="23" t="s">
        <v>12</v>
      </c>
      <c r="K3" s="24"/>
      <c r="L3" s="25"/>
    </row>
    <row r="4" spans="2:19" x14ac:dyDescent="0.3">
      <c r="C4" s="11" t="s">
        <v>1</v>
      </c>
      <c r="E4" s="1">
        <v>58</v>
      </c>
      <c r="F4" s="1">
        <v>62</v>
      </c>
      <c r="G4" s="12" t="s">
        <v>2</v>
      </c>
    </row>
    <row r="5" spans="2:19" x14ac:dyDescent="0.3">
      <c r="C5" s="11" t="s">
        <v>3</v>
      </c>
      <c r="E5" s="1">
        <v>5</v>
      </c>
      <c r="F5" s="1">
        <v>5</v>
      </c>
      <c r="G5" s="12" t="s">
        <v>2</v>
      </c>
      <c r="J5" s="1" t="s">
        <v>10</v>
      </c>
      <c r="K5" s="1" t="s">
        <v>11</v>
      </c>
      <c r="L5" s="1">
        <f>E6/(2*E7)</f>
        <v>5</v>
      </c>
      <c r="M5" s="5">
        <f>ROUNDUP(L5, 0)</f>
        <v>5</v>
      </c>
    </row>
    <row r="6" spans="2:19" x14ac:dyDescent="0.3">
      <c r="C6" s="11" t="s">
        <v>4</v>
      </c>
      <c r="E6" s="1">
        <v>60</v>
      </c>
      <c r="G6" s="12" t="s">
        <v>2</v>
      </c>
    </row>
    <row r="7" spans="2:19" x14ac:dyDescent="0.3">
      <c r="C7" s="11" t="s">
        <v>5</v>
      </c>
      <c r="E7" s="1">
        <v>6</v>
      </c>
      <c r="G7" s="12" t="s">
        <v>2</v>
      </c>
      <c r="J7" s="23" t="s">
        <v>13</v>
      </c>
      <c r="K7" s="24"/>
      <c r="L7" s="25"/>
    </row>
    <row r="8" spans="2:19" x14ac:dyDescent="0.3">
      <c r="C8" s="11" t="s">
        <v>6</v>
      </c>
      <c r="E8" s="1">
        <v>20</v>
      </c>
      <c r="G8" s="12" t="s">
        <v>7</v>
      </c>
    </row>
    <row r="9" spans="2:19" ht="15" thickBot="1" x14ac:dyDescent="0.35">
      <c r="C9" s="13" t="s">
        <v>8</v>
      </c>
      <c r="D9" s="14"/>
      <c r="E9" s="19">
        <v>42</v>
      </c>
      <c r="F9" s="14"/>
      <c r="G9" s="15" t="s">
        <v>9</v>
      </c>
      <c r="J9" s="1" t="s">
        <v>14</v>
      </c>
      <c r="K9" s="1" t="s">
        <v>11</v>
      </c>
      <c r="L9" s="8">
        <f>M5*F5*2/E4</f>
        <v>0.86206896551724133</v>
      </c>
    </row>
    <row r="10" spans="2:19" x14ac:dyDescent="0.3">
      <c r="J10" s="1" t="s">
        <v>15</v>
      </c>
      <c r="K10" s="1" t="s">
        <v>11</v>
      </c>
      <c r="L10" s="8">
        <f>M5*2*E5/F4</f>
        <v>0.80645161290322576</v>
      </c>
    </row>
    <row r="12" spans="2:19" x14ac:dyDescent="0.3">
      <c r="B12" s="23" t="s">
        <v>16</v>
      </c>
      <c r="C12" s="24"/>
      <c r="D12" s="24"/>
      <c r="E12" s="25"/>
    </row>
    <row r="13" spans="2:19" x14ac:dyDescent="0.3">
      <c r="L13" s="23" t="s">
        <v>87</v>
      </c>
      <c r="M13" s="24"/>
      <c r="N13" s="24"/>
      <c r="O13" s="25"/>
    </row>
    <row r="14" spans="2:19" x14ac:dyDescent="0.3">
      <c r="B14" s="21" t="s">
        <v>17</v>
      </c>
      <c r="C14" s="21"/>
      <c r="D14" s="21"/>
      <c r="E14" s="1" t="s">
        <v>18</v>
      </c>
      <c r="F14" s="1" t="s">
        <v>19</v>
      </c>
      <c r="G14" s="1" t="s">
        <v>11</v>
      </c>
      <c r="H14" s="5">
        <v>4</v>
      </c>
    </row>
    <row r="15" spans="2:19" x14ac:dyDescent="0.3">
      <c r="F15" s="1" t="s">
        <v>20</v>
      </c>
      <c r="G15" s="1" t="s">
        <v>11</v>
      </c>
      <c r="H15" s="5">
        <v>0.42</v>
      </c>
      <c r="L15" s="1" t="s">
        <v>86</v>
      </c>
      <c r="M15" s="1" t="s">
        <v>11</v>
      </c>
      <c r="N15" s="1">
        <f>E7^2/E8</f>
        <v>1.8</v>
      </c>
      <c r="O15" s="1" t="s">
        <v>42</v>
      </c>
      <c r="R15" s="10" t="s">
        <v>101</v>
      </c>
      <c r="S15" s="16"/>
    </row>
    <row r="16" spans="2:19" x14ac:dyDescent="0.3">
      <c r="L16" s="1" t="s">
        <v>31</v>
      </c>
      <c r="M16" s="1" t="s">
        <v>11</v>
      </c>
      <c r="N16" s="9">
        <f>(8*M5^2*N15)/(PI()^2)</f>
        <v>36.475626111241603</v>
      </c>
      <c r="O16" s="1" t="s">
        <v>42</v>
      </c>
      <c r="R16" s="17" t="s">
        <v>33</v>
      </c>
      <c r="S16" s="18">
        <f>10^9/(2*PI()*E9*1000*N16*H15)</f>
        <v>247.35391893343674</v>
      </c>
    </row>
    <row r="17" spans="2:19" x14ac:dyDescent="0.3">
      <c r="C17" s="1" t="s">
        <v>21</v>
      </c>
      <c r="D17" s="1" t="s">
        <v>11</v>
      </c>
      <c r="E17" s="5">
        <f>SQRT(L10/(L10*(H14+1)-H14))</f>
        <v>5.0000000000000018</v>
      </c>
      <c r="R17" s="17" t="s">
        <v>102</v>
      </c>
      <c r="S17" s="18"/>
    </row>
    <row r="18" spans="2:19" x14ac:dyDescent="0.3">
      <c r="E18" s="5"/>
      <c r="L18" s="23" t="s">
        <v>32</v>
      </c>
      <c r="M18" s="24"/>
      <c r="N18" s="24"/>
      <c r="O18" s="25"/>
      <c r="R18" s="17" t="s">
        <v>35</v>
      </c>
      <c r="S18" s="18">
        <f>10^6/((2*PI()*E9*1000)^2*N20*10^-9)</f>
        <v>58.05276197975909</v>
      </c>
    </row>
    <row r="19" spans="2:19" x14ac:dyDescent="0.3">
      <c r="C19" s="1" t="s">
        <v>23</v>
      </c>
      <c r="D19" s="1" t="s">
        <v>11</v>
      </c>
      <c r="E19" s="1">
        <v>1.4850000000000001</v>
      </c>
      <c r="F19" s="1" t="s">
        <v>22</v>
      </c>
      <c r="G19" s="21" t="s">
        <v>24</v>
      </c>
      <c r="H19" s="21"/>
      <c r="R19" s="17"/>
      <c r="S19" s="18"/>
    </row>
    <row r="20" spans="2:19" x14ac:dyDescent="0.3">
      <c r="B20" s="1" t="s">
        <v>25</v>
      </c>
      <c r="C20" s="1" t="s">
        <v>14</v>
      </c>
      <c r="D20" s="1" t="s">
        <v>11</v>
      </c>
      <c r="E20" s="6">
        <f>L9</f>
        <v>0.86206896551724133</v>
      </c>
      <c r="L20" s="1" t="s">
        <v>33</v>
      </c>
      <c r="M20" s="1" t="s">
        <v>11</v>
      </c>
      <c r="N20" s="9">
        <f>10^9/(2*PI()*E9*1000*N16*H15)</f>
        <v>247.35391893343674</v>
      </c>
      <c r="O20" s="1" t="s">
        <v>34</v>
      </c>
      <c r="Q20" s="1" t="s">
        <v>19</v>
      </c>
      <c r="R20" s="17"/>
      <c r="S20" s="18"/>
    </row>
    <row r="21" spans="2:19" x14ac:dyDescent="0.3">
      <c r="B21" s="1" t="s">
        <v>26</v>
      </c>
      <c r="C21" s="1" t="s">
        <v>27</v>
      </c>
      <c r="D21" s="1" t="s">
        <v>11</v>
      </c>
      <c r="E21" s="5">
        <v>0.5554</v>
      </c>
      <c r="F21" s="21" t="s">
        <v>28</v>
      </c>
      <c r="G21" s="21"/>
      <c r="H21" s="21"/>
      <c r="I21" s="21"/>
      <c r="J21" s="21"/>
      <c r="K21" s="21"/>
      <c r="L21" s="1" t="s">
        <v>35</v>
      </c>
      <c r="M21" s="1" t="s">
        <v>11</v>
      </c>
      <c r="N21" s="9">
        <f>10^6/((2*PI()*E9*1000)^2*N20*10^-9)</f>
        <v>58.05276197975909</v>
      </c>
      <c r="O21" s="1" t="s">
        <v>36</v>
      </c>
      <c r="P21" s="1">
        <v>60.259</v>
      </c>
      <c r="Q21" s="1">
        <f>P22/P21</f>
        <v>3.8430773826316402</v>
      </c>
      <c r="R21" s="17" t="s">
        <v>101</v>
      </c>
      <c r="S21" s="18"/>
    </row>
    <row r="22" spans="2:19" x14ac:dyDescent="0.3">
      <c r="L22" s="1" t="s">
        <v>37</v>
      </c>
      <c r="M22" s="1" t="s">
        <v>11</v>
      </c>
      <c r="N22" s="9">
        <f>H14*N21</f>
        <v>232.21104791903636</v>
      </c>
      <c r="O22" s="1" t="s">
        <v>36</v>
      </c>
      <c r="P22" s="1">
        <v>231.58</v>
      </c>
      <c r="R22" s="17" t="s">
        <v>35</v>
      </c>
      <c r="S22" s="18"/>
    </row>
    <row r="23" spans="2:19" x14ac:dyDescent="0.3">
      <c r="B23" s="1" t="s">
        <v>26</v>
      </c>
      <c r="C23" s="1" t="s">
        <v>30</v>
      </c>
      <c r="D23" s="1" t="s">
        <v>11</v>
      </c>
      <c r="E23" s="5">
        <f>E17*E9</f>
        <v>210.00000000000009</v>
      </c>
      <c r="F23" s="1" t="s">
        <v>9</v>
      </c>
      <c r="R23" s="17" t="s">
        <v>102</v>
      </c>
      <c r="S23" s="18"/>
    </row>
    <row r="24" spans="2:19" x14ac:dyDescent="0.3">
      <c r="C24" s="1" t="s">
        <v>29</v>
      </c>
      <c r="D24" s="1" t="s">
        <v>11</v>
      </c>
      <c r="E24" s="5">
        <f>E21*E9</f>
        <v>23.326799999999999</v>
      </c>
      <c r="F24" s="1" t="s">
        <v>9</v>
      </c>
      <c r="R24" s="2" t="s">
        <v>33</v>
      </c>
      <c r="S24" s="4"/>
    </row>
    <row r="26" spans="2:19" x14ac:dyDescent="0.3">
      <c r="B26" s="23" t="s">
        <v>38</v>
      </c>
      <c r="C26" s="24"/>
      <c r="D26" s="24"/>
      <c r="E26" s="24"/>
      <c r="F26" s="24"/>
      <c r="G26" s="25"/>
      <c r="J26" s="23" t="s">
        <v>53</v>
      </c>
      <c r="K26" s="24"/>
      <c r="L26" s="24"/>
      <c r="M26" s="25"/>
    </row>
    <row r="28" spans="2:19" x14ac:dyDescent="0.3">
      <c r="B28" s="1" t="s">
        <v>40</v>
      </c>
      <c r="C28" s="1" t="s">
        <v>11</v>
      </c>
      <c r="D28" s="5">
        <f>E8/E7</f>
        <v>3.3333333333333335</v>
      </c>
      <c r="E28" s="1" t="s">
        <v>41</v>
      </c>
      <c r="F28" s="21" t="s">
        <v>51</v>
      </c>
      <c r="G28" s="21"/>
      <c r="H28" s="21"/>
      <c r="J28" s="1" t="s">
        <v>35</v>
      </c>
      <c r="K28" s="1" t="s">
        <v>11</v>
      </c>
      <c r="L28" s="7">
        <f>N21</f>
        <v>58.05276197975909</v>
      </c>
      <c r="M28" s="1" t="s">
        <v>36</v>
      </c>
    </row>
    <row r="29" spans="2:19" x14ac:dyDescent="0.3">
      <c r="B29" s="1" t="s">
        <v>39</v>
      </c>
      <c r="C29" s="1" t="s">
        <v>11</v>
      </c>
      <c r="D29" s="7">
        <f>(PI()*D28)/(2*SQRT(2)*M5)</f>
        <v>0.74048048969306102</v>
      </c>
      <c r="E29" s="1" t="s">
        <v>41</v>
      </c>
      <c r="F29" s="21" t="s">
        <v>52</v>
      </c>
      <c r="G29" s="21"/>
      <c r="H29" s="21"/>
      <c r="J29" s="1" t="s">
        <v>57</v>
      </c>
      <c r="K29" s="1" t="s">
        <v>11</v>
      </c>
      <c r="L29" s="9">
        <f>D31</f>
        <v>1.0854045539700032</v>
      </c>
      <c r="M29" s="1" t="s">
        <v>41</v>
      </c>
    </row>
    <row r="30" spans="2:19" x14ac:dyDescent="0.3">
      <c r="B30" s="1" t="s">
        <v>43</v>
      </c>
      <c r="C30" s="1" t="s">
        <v>11</v>
      </c>
      <c r="D30" s="9">
        <f>(2*SQRT(2)*M5*E7)/(2*PI()*E24*1000*N22*10^-6*PI())</f>
        <v>0.79359415960725554</v>
      </c>
      <c r="E30" s="1" t="s">
        <v>41</v>
      </c>
      <c r="F30" s="21" t="s">
        <v>45</v>
      </c>
      <c r="G30" s="21"/>
      <c r="H30" s="21"/>
      <c r="J30" s="1" t="s">
        <v>54</v>
      </c>
      <c r="K30" s="1" t="s">
        <v>11</v>
      </c>
      <c r="L30" s="7">
        <f>2*PI()*E24*1000*L28*10^-6*L29</f>
        <v>9.2352692280463007</v>
      </c>
      <c r="M30" s="1" t="s">
        <v>2</v>
      </c>
      <c r="N30" s="1" t="s">
        <v>55</v>
      </c>
    </row>
    <row r="31" spans="2:19" x14ac:dyDescent="0.3">
      <c r="B31" s="1" t="s">
        <v>44</v>
      </c>
      <c r="C31" s="1" t="s">
        <v>11</v>
      </c>
      <c r="D31" s="9">
        <f>SQRT(D30^2+D29^2)</f>
        <v>1.0854045539700032</v>
      </c>
      <c r="E31" s="1" t="s">
        <v>41</v>
      </c>
      <c r="F31" s="21" t="s">
        <v>46</v>
      </c>
      <c r="G31" s="21"/>
      <c r="H31" s="21"/>
      <c r="J31" s="1" t="s">
        <v>54</v>
      </c>
      <c r="K31" s="1" t="s">
        <v>11</v>
      </c>
      <c r="L31" s="7">
        <f>2*PI()*E23*1000*L28*10^-6*D30</f>
        <v>60.788372084788435</v>
      </c>
      <c r="M31" s="1" t="s">
        <v>2</v>
      </c>
      <c r="N31" s="1" t="s">
        <v>56</v>
      </c>
    </row>
    <row r="32" spans="2:19" x14ac:dyDescent="0.3">
      <c r="B32" s="1" t="s">
        <v>48</v>
      </c>
      <c r="C32" s="1" t="s">
        <v>11</v>
      </c>
      <c r="D32" s="7">
        <f>M5*D29</f>
        <v>3.7024024484653051</v>
      </c>
      <c r="E32" s="1" t="s">
        <v>41</v>
      </c>
      <c r="F32" s="21" t="s">
        <v>47</v>
      </c>
      <c r="G32" s="21"/>
      <c r="H32" s="21"/>
    </row>
    <row r="33" spans="2:16" x14ac:dyDescent="0.3">
      <c r="B33" s="1" t="s">
        <v>50</v>
      </c>
      <c r="C33" s="1" t="s">
        <v>11</v>
      </c>
      <c r="D33" s="7">
        <f>SQRT(2)*D32/2</f>
        <v>2.6179938779914944</v>
      </c>
      <c r="E33" s="1" t="s">
        <v>41</v>
      </c>
      <c r="F33" s="21" t="s">
        <v>49</v>
      </c>
      <c r="G33" s="21"/>
      <c r="H33" s="21"/>
    </row>
    <row r="36" spans="2:16" x14ac:dyDescent="0.3">
      <c r="C36" s="23" t="s">
        <v>59</v>
      </c>
      <c r="D36" s="24"/>
      <c r="E36" s="24"/>
      <c r="F36" s="25"/>
      <c r="J36" s="22" t="s">
        <v>64</v>
      </c>
      <c r="K36" s="22"/>
      <c r="L36" s="22"/>
      <c r="M36" s="22"/>
      <c r="N36" s="22"/>
    </row>
    <row r="38" spans="2:16" x14ac:dyDescent="0.3">
      <c r="B38" s="1" t="s">
        <v>60</v>
      </c>
      <c r="C38" s="1" t="s">
        <v>11</v>
      </c>
      <c r="D38" s="5">
        <f>D31/(2*PI()*E24*1000*N20*10^-9)</f>
        <v>29.939035811704166</v>
      </c>
      <c r="E38" s="1" t="s">
        <v>2</v>
      </c>
      <c r="F38" s="21" t="s">
        <v>63</v>
      </c>
      <c r="G38" s="21"/>
      <c r="H38" s="21"/>
      <c r="J38" s="1" t="s">
        <v>65</v>
      </c>
      <c r="K38" s="1" t="s">
        <v>66</v>
      </c>
      <c r="L38" s="1" t="s">
        <v>67</v>
      </c>
      <c r="M38" s="1" t="s">
        <v>11</v>
      </c>
      <c r="N38" s="5">
        <f>F4</f>
        <v>62</v>
      </c>
      <c r="O38" s="1" t="s">
        <v>2</v>
      </c>
    </row>
    <row r="39" spans="2:16" x14ac:dyDescent="0.3">
      <c r="B39" s="1" t="s">
        <v>61</v>
      </c>
      <c r="C39" s="1" t="s">
        <v>11</v>
      </c>
      <c r="D39" s="1">
        <f>SQRT((F4/2)^2+D38^2)</f>
        <v>43.096935683810571</v>
      </c>
      <c r="E39" s="1" t="s">
        <v>2</v>
      </c>
      <c r="F39" s="21"/>
      <c r="G39" s="21"/>
      <c r="H39" s="21"/>
      <c r="J39" s="1" t="s">
        <v>68</v>
      </c>
      <c r="K39" s="1" t="s">
        <v>69</v>
      </c>
      <c r="L39" s="1" t="s">
        <v>44</v>
      </c>
      <c r="M39" s="7" t="s">
        <v>11</v>
      </c>
      <c r="N39" s="9">
        <f>D31</f>
        <v>1.0854045539700032</v>
      </c>
      <c r="O39" s="1" t="s">
        <v>41</v>
      </c>
    </row>
    <row r="40" spans="2:16" x14ac:dyDescent="0.3">
      <c r="B40" s="1" t="s">
        <v>62</v>
      </c>
      <c r="C40" s="1" t="s">
        <v>11</v>
      </c>
      <c r="D40" s="5">
        <f>F4/2+SQRT(2)*236.602</f>
        <v>365.60575728459906</v>
      </c>
      <c r="E40" s="1" t="s">
        <v>2</v>
      </c>
      <c r="F40" s="21"/>
      <c r="G40" s="21"/>
      <c r="H40" s="21"/>
    </row>
    <row r="41" spans="2:16" x14ac:dyDescent="0.3">
      <c r="J41" s="21" t="s">
        <v>70</v>
      </c>
      <c r="K41" s="21"/>
      <c r="L41" s="21"/>
      <c r="M41" s="21"/>
      <c r="N41" s="21"/>
      <c r="O41" s="21"/>
      <c r="P41" s="21"/>
    </row>
    <row r="43" spans="2:16" x14ac:dyDescent="0.3">
      <c r="C43" s="22" t="s">
        <v>71</v>
      </c>
      <c r="D43" s="22"/>
      <c r="E43" s="22"/>
      <c r="F43" s="22"/>
      <c r="J43" s="23" t="s">
        <v>88</v>
      </c>
      <c r="K43" s="24"/>
      <c r="L43" s="24"/>
      <c r="M43" s="24"/>
      <c r="N43" s="25"/>
    </row>
    <row r="45" spans="2:16" x14ac:dyDescent="0.3">
      <c r="B45" s="1" t="s">
        <v>72</v>
      </c>
      <c r="C45" s="1" t="s">
        <v>11</v>
      </c>
      <c r="D45" s="6">
        <f>(M5*E5)/(2*PI()*E23*1000*N22*10^-6)</f>
        <v>8.1593951728582623E-2</v>
      </c>
      <c r="E45" s="1" t="s">
        <v>41</v>
      </c>
      <c r="F45" s="1" t="s">
        <v>85</v>
      </c>
      <c r="J45" s="21" t="s">
        <v>89</v>
      </c>
      <c r="K45" s="21"/>
      <c r="L45" s="21"/>
      <c r="M45" s="21"/>
      <c r="N45" s="21"/>
    </row>
    <row r="47" spans="2:16" x14ac:dyDescent="0.3">
      <c r="B47" s="1" t="s">
        <v>73</v>
      </c>
      <c r="C47" s="21" t="s">
        <v>74</v>
      </c>
      <c r="D47" s="21"/>
      <c r="E47" s="1" t="s">
        <v>75</v>
      </c>
      <c r="F47" s="21" t="s">
        <v>81</v>
      </c>
      <c r="G47" s="21"/>
      <c r="J47" s="1" t="s">
        <v>90</v>
      </c>
      <c r="K47" s="1" t="s">
        <v>91</v>
      </c>
      <c r="L47" s="1" t="s">
        <v>11</v>
      </c>
      <c r="M47" s="1">
        <f>F4/M5</f>
        <v>12.4</v>
      </c>
      <c r="N47" s="1" t="s">
        <v>2</v>
      </c>
      <c r="O47" s="21" t="s">
        <v>93</v>
      </c>
      <c r="P47" s="21"/>
    </row>
    <row r="48" spans="2:16" x14ac:dyDescent="0.3">
      <c r="C48" s="1" t="s">
        <v>11</v>
      </c>
      <c r="D48" s="1">
        <f>0.5*(N22+N21)*10^-6*D45^2</f>
        <v>9.6622624583373641E-7</v>
      </c>
      <c r="E48" s="1" t="s">
        <v>75</v>
      </c>
      <c r="F48" s="1" t="s">
        <v>11</v>
      </c>
      <c r="G48" s="1">
        <f>0.5*2*G51*10^-12*F4^2</f>
        <v>1.5376000000000001E-6</v>
      </c>
      <c r="H48" s="1" t="str">
        <f>IF(D48 &gt; G48, "Yes", "No")</f>
        <v>No</v>
      </c>
      <c r="K48" s="1" t="s">
        <v>92</v>
      </c>
      <c r="L48" s="1" t="s">
        <v>11</v>
      </c>
      <c r="M48" s="1">
        <f>SQRT(2)*D32/PI()</f>
        <v>1.6666666666666667</v>
      </c>
      <c r="N48" s="1" t="s">
        <v>41</v>
      </c>
      <c r="O48" s="21" t="s">
        <v>94</v>
      </c>
      <c r="P48" s="21"/>
    </row>
    <row r="50" spans="2:17" x14ac:dyDescent="0.3">
      <c r="B50" s="10" t="s">
        <v>76</v>
      </c>
      <c r="C50" s="26" t="s">
        <v>77</v>
      </c>
      <c r="D50" s="26"/>
      <c r="E50" s="26"/>
      <c r="F50" s="26"/>
      <c r="G50" s="26"/>
      <c r="H50" s="27"/>
      <c r="J50" s="23" t="s">
        <v>95</v>
      </c>
      <c r="K50" s="24"/>
      <c r="L50" s="24"/>
      <c r="M50" s="24"/>
      <c r="N50" s="25"/>
    </row>
    <row r="51" spans="2:17" x14ac:dyDescent="0.3">
      <c r="B51" s="2"/>
      <c r="C51" s="3" t="s">
        <v>79</v>
      </c>
      <c r="D51" s="3">
        <v>200</v>
      </c>
      <c r="E51" s="3" t="s">
        <v>78</v>
      </c>
      <c r="F51" s="3" t="s">
        <v>80</v>
      </c>
      <c r="G51" s="3">
        <f>2*D51</f>
        <v>400</v>
      </c>
      <c r="H51" s="4" t="s">
        <v>78</v>
      </c>
    </row>
    <row r="52" spans="2:17" x14ac:dyDescent="0.3">
      <c r="J52" s="1" t="s">
        <v>96</v>
      </c>
      <c r="K52" s="1" t="s">
        <v>11</v>
      </c>
      <c r="L52" s="1">
        <f>(PI()*D28)/(2*SQRT(2))</f>
        <v>3.7024024484653051</v>
      </c>
      <c r="M52" s="21" t="s">
        <v>97</v>
      </c>
      <c r="N52" s="21"/>
      <c r="O52" s="21"/>
    </row>
    <row r="53" spans="2:17" x14ac:dyDescent="0.3">
      <c r="C53" s="1" t="s">
        <v>82</v>
      </c>
      <c r="D53" s="1" t="s">
        <v>75</v>
      </c>
      <c r="E53" s="21" t="s">
        <v>84</v>
      </c>
      <c r="F53" s="21"/>
      <c r="J53" s="1" t="s">
        <v>99</v>
      </c>
      <c r="K53" s="1" t="s">
        <v>11</v>
      </c>
      <c r="L53" s="1">
        <f>SQRT(L52^2-D28^2)</f>
        <v>1.6114194920289298</v>
      </c>
      <c r="M53" s="21" t="s">
        <v>98</v>
      </c>
      <c r="N53" s="21"/>
      <c r="O53" s="21"/>
    </row>
    <row r="54" spans="2:17" x14ac:dyDescent="0.3">
      <c r="D54" s="1" t="s">
        <v>75</v>
      </c>
      <c r="E54" s="5">
        <f>ROUND(16*G51*10^-12*E23*1000*N22*10^-6*10^9, 0)</f>
        <v>312</v>
      </c>
      <c r="F54" s="1" t="s">
        <v>83</v>
      </c>
    </row>
    <row r="55" spans="2:17" x14ac:dyDescent="0.3">
      <c r="J55" s="21" t="s">
        <v>100</v>
      </c>
      <c r="K55" s="21"/>
      <c r="L55" s="21"/>
      <c r="M55" s="21"/>
      <c r="N55" s="21"/>
      <c r="O55" s="21"/>
      <c r="P55" s="21"/>
      <c r="Q55" s="21"/>
    </row>
  </sheetData>
  <mergeCells count="37">
    <mergeCell ref="J55:Q55"/>
    <mergeCell ref="O48:P48"/>
    <mergeCell ref="C50:H50"/>
    <mergeCell ref="J50:N50"/>
    <mergeCell ref="M52:O52"/>
    <mergeCell ref="E53:F53"/>
    <mergeCell ref="M53:O53"/>
    <mergeCell ref="O47:P47"/>
    <mergeCell ref="C36:F36"/>
    <mergeCell ref="J36:N36"/>
    <mergeCell ref="F38:H38"/>
    <mergeCell ref="F39:H39"/>
    <mergeCell ref="F40:H40"/>
    <mergeCell ref="J41:P41"/>
    <mergeCell ref="C43:F43"/>
    <mergeCell ref="J43:N43"/>
    <mergeCell ref="J45:N45"/>
    <mergeCell ref="C47:D47"/>
    <mergeCell ref="F47:G47"/>
    <mergeCell ref="F33:H33"/>
    <mergeCell ref="B14:D14"/>
    <mergeCell ref="L18:O18"/>
    <mergeCell ref="G19:H19"/>
    <mergeCell ref="F21:K21"/>
    <mergeCell ref="B26:G26"/>
    <mergeCell ref="J26:M26"/>
    <mergeCell ref="F28:H28"/>
    <mergeCell ref="F29:H29"/>
    <mergeCell ref="F30:H30"/>
    <mergeCell ref="F31:H31"/>
    <mergeCell ref="F32:H32"/>
    <mergeCell ref="L13:O13"/>
    <mergeCell ref="E1:M1"/>
    <mergeCell ref="C3:G3"/>
    <mergeCell ref="J3:L3"/>
    <mergeCell ref="J7:L7"/>
    <mergeCell ref="B12:E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E9A7B-B7BA-42F9-AA63-559EB4ADB180}">
  <dimension ref="B1:S55"/>
  <sheetViews>
    <sheetView workbookViewId="0">
      <selection activeCell="D22" sqref="D22"/>
    </sheetView>
  </sheetViews>
  <sheetFormatPr defaultColWidth="8.88671875" defaultRowHeight="14.4" x14ac:dyDescent="0.3"/>
  <cols>
    <col min="1" max="2" width="8.88671875" style="1"/>
    <col min="3" max="3" width="10" style="1" bestFit="1" customWidth="1"/>
    <col min="4" max="5" width="12" style="1" bestFit="1" customWidth="1"/>
    <col min="6" max="6" width="8.88671875" style="1"/>
    <col min="7" max="7" width="10.88671875" style="1" bestFit="1" customWidth="1"/>
    <col min="8" max="8" width="11.6640625" style="1" customWidth="1"/>
    <col min="9" max="11" width="8.88671875" style="1"/>
    <col min="12" max="12" width="12" style="1" bestFit="1" customWidth="1"/>
    <col min="13" max="13" width="8.88671875" style="1"/>
    <col min="14" max="14" width="12" style="1" bestFit="1" customWidth="1"/>
    <col min="15" max="16" width="8.88671875" style="1"/>
    <col min="17" max="17" width="12" style="1" bestFit="1" customWidth="1"/>
    <col min="18" max="18" width="8.88671875" style="1"/>
    <col min="19" max="19" width="12" style="1" bestFit="1" customWidth="1"/>
    <col min="20" max="16384" width="8.88671875" style="1"/>
  </cols>
  <sheetData>
    <row r="1" spans="2:19" ht="26.4" thickBot="1" x14ac:dyDescent="0.35">
      <c r="E1" s="28" t="s">
        <v>58</v>
      </c>
      <c r="F1" s="29"/>
      <c r="G1" s="29"/>
      <c r="H1" s="29"/>
      <c r="I1" s="29"/>
      <c r="J1" s="29"/>
      <c r="K1" s="29"/>
      <c r="L1" s="29"/>
      <c r="M1" s="30"/>
    </row>
    <row r="2" spans="2:19" ht="15" thickBot="1" x14ac:dyDescent="0.35"/>
    <row r="3" spans="2:19" ht="15" thickBot="1" x14ac:dyDescent="0.35">
      <c r="C3" s="31" t="s">
        <v>0</v>
      </c>
      <c r="D3" s="32"/>
      <c r="E3" s="32"/>
      <c r="F3" s="32"/>
      <c r="G3" s="33"/>
      <c r="J3" s="23" t="s">
        <v>12</v>
      </c>
      <c r="K3" s="24"/>
      <c r="L3" s="25"/>
    </row>
    <row r="4" spans="2:19" x14ac:dyDescent="0.3">
      <c r="C4" s="11" t="s">
        <v>1</v>
      </c>
      <c r="E4" s="1">
        <v>28</v>
      </c>
      <c r="F4" s="1">
        <v>32</v>
      </c>
      <c r="G4" s="12" t="s">
        <v>2</v>
      </c>
    </row>
    <row r="5" spans="2:19" x14ac:dyDescent="0.3">
      <c r="C5" s="11" t="s">
        <v>3</v>
      </c>
      <c r="E5" s="1">
        <v>3</v>
      </c>
      <c r="F5" s="1">
        <v>3</v>
      </c>
      <c r="G5" s="12" t="s">
        <v>2</v>
      </c>
      <c r="J5" s="1" t="s">
        <v>10</v>
      </c>
      <c r="K5" s="1" t="s">
        <v>11</v>
      </c>
      <c r="L5" s="1">
        <f>E6/(2*E7)</f>
        <v>5</v>
      </c>
      <c r="M5" s="5">
        <f>ROUNDUP(L5, 0)</f>
        <v>5</v>
      </c>
    </row>
    <row r="6" spans="2:19" x14ac:dyDescent="0.3">
      <c r="C6" s="11" t="s">
        <v>4</v>
      </c>
      <c r="E6" s="1">
        <v>30</v>
      </c>
      <c r="G6" s="12" t="s">
        <v>2</v>
      </c>
    </row>
    <row r="7" spans="2:19" x14ac:dyDescent="0.3">
      <c r="C7" s="11" t="s">
        <v>5</v>
      </c>
      <c r="E7" s="1">
        <v>3</v>
      </c>
      <c r="G7" s="12" t="s">
        <v>2</v>
      </c>
      <c r="J7" s="23" t="s">
        <v>13</v>
      </c>
      <c r="K7" s="24"/>
      <c r="L7" s="25"/>
    </row>
    <row r="8" spans="2:19" x14ac:dyDescent="0.3">
      <c r="C8" s="11" t="s">
        <v>6</v>
      </c>
      <c r="E8" s="1">
        <v>5</v>
      </c>
      <c r="G8" s="12" t="s">
        <v>7</v>
      </c>
    </row>
    <row r="9" spans="2:19" ht="15" thickBot="1" x14ac:dyDescent="0.35">
      <c r="C9" s="13" t="s">
        <v>8</v>
      </c>
      <c r="D9" s="14"/>
      <c r="E9" s="19">
        <v>42</v>
      </c>
      <c r="F9" s="14"/>
      <c r="G9" s="15" t="s">
        <v>9</v>
      </c>
      <c r="J9" s="1" t="s">
        <v>14</v>
      </c>
      <c r="K9" s="1" t="s">
        <v>11</v>
      </c>
      <c r="L9" s="8">
        <f>M5*F5*2/E4</f>
        <v>1.0714285714285714</v>
      </c>
    </row>
    <row r="10" spans="2:19" x14ac:dyDescent="0.3">
      <c r="J10" s="1" t="s">
        <v>15</v>
      </c>
      <c r="K10" s="1" t="s">
        <v>11</v>
      </c>
      <c r="L10" s="8">
        <f>M5*2*E5/F4</f>
        <v>0.9375</v>
      </c>
    </row>
    <row r="12" spans="2:19" x14ac:dyDescent="0.3">
      <c r="B12" s="23" t="s">
        <v>16</v>
      </c>
      <c r="C12" s="24"/>
      <c r="D12" s="24"/>
      <c r="E12" s="25"/>
    </row>
    <row r="13" spans="2:19" x14ac:dyDescent="0.3">
      <c r="L13" s="23" t="s">
        <v>87</v>
      </c>
      <c r="M13" s="24"/>
      <c r="N13" s="24"/>
      <c r="O13" s="25"/>
    </row>
    <row r="14" spans="2:19" x14ac:dyDescent="0.3">
      <c r="B14" s="21" t="s">
        <v>17</v>
      </c>
      <c r="C14" s="21"/>
      <c r="D14" s="21"/>
      <c r="E14" s="1" t="s">
        <v>18</v>
      </c>
      <c r="F14" s="1" t="s">
        <v>19</v>
      </c>
      <c r="G14" s="1" t="s">
        <v>11</v>
      </c>
      <c r="H14" s="5">
        <v>4</v>
      </c>
    </row>
    <row r="15" spans="2:19" x14ac:dyDescent="0.3">
      <c r="F15" s="1" t="s">
        <v>20</v>
      </c>
      <c r="G15" s="1" t="s">
        <v>11</v>
      </c>
      <c r="H15" s="5">
        <v>0.42</v>
      </c>
      <c r="L15" s="1" t="s">
        <v>86</v>
      </c>
      <c r="M15" s="1" t="s">
        <v>11</v>
      </c>
      <c r="N15" s="1">
        <f>E7^2/E8</f>
        <v>1.8</v>
      </c>
      <c r="O15" s="1" t="s">
        <v>42</v>
      </c>
      <c r="R15" s="10" t="s">
        <v>101</v>
      </c>
      <c r="S15" s="16"/>
    </row>
    <row r="16" spans="2:19" x14ac:dyDescent="0.3">
      <c r="L16" s="1" t="s">
        <v>31</v>
      </c>
      <c r="M16" s="1" t="s">
        <v>11</v>
      </c>
      <c r="N16" s="9">
        <f>(8*M5^2*N15)/(PI()^2)</f>
        <v>36.475626111241603</v>
      </c>
      <c r="O16" s="1" t="s">
        <v>42</v>
      </c>
      <c r="R16" s="17" t="s">
        <v>33</v>
      </c>
      <c r="S16" s="18">
        <f>10^9/(2*PI()*E9*1000*N16*H15)</f>
        <v>247.35391893343674</v>
      </c>
    </row>
    <row r="17" spans="2:19" x14ac:dyDescent="0.3">
      <c r="C17" s="1" t="s">
        <v>21</v>
      </c>
      <c r="D17" s="1" t="s">
        <v>11</v>
      </c>
      <c r="E17" s="5">
        <f>SQRT(L10/(L10*(H14+1)-H14))</f>
        <v>1.1677484162422844</v>
      </c>
      <c r="R17" s="17" t="s">
        <v>102</v>
      </c>
      <c r="S17" s="18"/>
    </row>
    <row r="18" spans="2:19" x14ac:dyDescent="0.3">
      <c r="E18" s="5"/>
      <c r="L18" s="23" t="s">
        <v>32</v>
      </c>
      <c r="M18" s="24"/>
      <c r="N18" s="24"/>
      <c r="O18" s="25"/>
      <c r="R18" s="17" t="s">
        <v>35</v>
      </c>
      <c r="S18" s="18">
        <f>10^6/((2*PI()*E9*1000)^2*N20*10^-9)</f>
        <v>58.05276197975909</v>
      </c>
    </row>
    <row r="19" spans="2:19" x14ac:dyDescent="0.3">
      <c r="C19" s="1" t="s">
        <v>23</v>
      </c>
      <c r="D19" s="1" t="s">
        <v>11</v>
      </c>
      <c r="E19" s="1">
        <v>1.4850000000000001</v>
      </c>
      <c r="F19" s="1" t="s">
        <v>22</v>
      </c>
      <c r="G19" s="21" t="s">
        <v>24</v>
      </c>
      <c r="H19" s="21"/>
      <c r="R19" s="17"/>
      <c r="S19" s="18"/>
    </row>
    <row r="20" spans="2:19" x14ac:dyDescent="0.3">
      <c r="B20" s="1" t="s">
        <v>25</v>
      </c>
      <c r="C20" s="1" t="s">
        <v>14</v>
      </c>
      <c r="D20" s="1" t="s">
        <v>11</v>
      </c>
      <c r="E20" s="6">
        <f>L9</f>
        <v>1.0714285714285714</v>
      </c>
      <c r="L20" s="1" t="s">
        <v>33</v>
      </c>
      <c r="M20" s="1" t="s">
        <v>11</v>
      </c>
      <c r="N20" s="9">
        <f>10^9/(2*PI()*E9*1000*N16*H15)</f>
        <v>247.35391893343674</v>
      </c>
      <c r="O20" s="1" t="s">
        <v>34</v>
      </c>
      <c r="Q20" s="1" t="s">
        <v>19</v>
      </c>
      <c r="R20" s="17"/>
      <c r="S20" s="18"/>
    </row>
    <row r="21" spans="2:19" x14ac:dyDescent="0.3">
      <c r="B21" s="1" t="s">
        <v>26</v>
      </c>
      <c r="C21" s="1" t="s">
        <v>27</v>
      </c>
      <c r="D21" s="1" t="s">
        <v>11</v>
      </c>
      <c r="E21" s="5">
        <v>0.5554</v>
      </c>
      <c r="F21" s="21" t="s">
        <v>28</v>
      </c>
      <c r="G21" s="21"/>
      <c r="H21" s="21"/>
      <c r="I21" s="21"/>
      <c r="J21" s="21"/>
      <c r="K21" s="21"/>
      <c r="L21" s="1" t="s">
        <v>35</v>
      </c>
      <c r="M21" s="1" t="s">
        <v>11</v>
      </c>
      <c r="N21" s="9">
        <f>10^6/((2*PI()*E9*1000)^2*N20*10^-9)</f>
        <v>58.05276197975909</v>
      </c>
      <c r="O21" s="1" t="s">
        <v>36</v>
      </c>
      <c r="P21" s="1">
        <v>60.259</v>
      </c>
      <c r="Q21" s="1">
        <f>P22/P21</f>
        <v>3.8430773826316402</v>
      </c>
      <c r="R21" s="17" t="s">
        <v>101</v>
      </c>
      <c r="S21" s="18"/>
    </row>
    <row r="22" spans="2:19" x14ac:dyDescent="0.3">
      <c r="L22" s="1" t="s">
        <v>37</v>
      </c>
      <c r="M22" s="1" t="s">
        <v>11</v>
      </c>
      <c r="N22" s="9">
        <f>H14*N21</f>
        <v>232.21104791903636</v>
      </c>
      <c r="O22" s="1" t="s">
        <v>36</v>
      </c>
      <c r="P22" s="1">
        <v>231.58</v>
      </c>
      <c r="R22" s="17" t="s">
        <v>35</v>
      </c>
      <c r="S22" s="18"/>
    </row>
    <row r="23" spans="2:19" x14ac:dyDescent="0.3">
      <c r="B23" s="1" t="s">
        <v>26</v>
      </c>
      <c r="C23" s="1" t="s">
        <v>30</v>
      </c>
      <c r="D23" s="1" t="s">
        <v>11</v>
      </c>
      <c r="E23" s="5">
        <f>E17*E9</f>
        <v>49.045433482175945</v>
      </c>
      <c r="F23" s="1" t="s">
        <v>9</v>
      </c>
      <c r="R23" s="17" t="s">
        <v>102</v>
      </c>
      <c r="S23" s="18"/>
    </row>
    <row r="24" spans="2:19" x14ac:dyDescent="0.3">
      <c r="C24" s="1" t="s">
        <v>29</v>
      </c>
      <c r="D24" s="1" t="s">
        <v>11</v>
      </c>
      <c r="E24" s="5">
        <f>E21*E9</f>
        <v>23.326799999999999</v>
      </c>
      <c r="F24" s="1" t="s">
        <v>9</v>
      </c>
      <c r="R24" s="2" t="s">
        <v>33</v>
      </c>
      <c r="S24" s="4"/>
    </row>
    <row r="26" spans="2:19" x14ac:dyDescent="0.3">
      <c r="B26" s="23" t="s">
        <v>38</v>
      </c>
      <c r="C26" s="24"/>
      <c r="D26" s="24"/>
      <c r="E26" s="24"/>
      <c r="F26" s="24"/>
      <c r="G26" s="25"/>
      <c r="J26" s="23" t="s">
        <v>53</v>
      </c>
      <c r="K26" s="24"/>
      <c r="L26" s="24"/>
      <c r="M26" s="25"/>
    </row>
    <row r="28" spans="2:19" x14ac:dyDescent="0.3">
      <c r="B28" s="1" t="s">
        <v>40</v>
      </c>
      <c r="C28" s="1" t="s">
        <v>11</v>
      </c>
      <c r="D28" s="5">
        <f>E8/E7</f>
        <v>1.6666666666666667</v>
      </c>
      <c r="E28" s="1" t="s">
        <v>41</v>
      </c>
      <c r="F28" s="21" t="s">
        <v>51</v>
      </c>
      <c r="G28" s="21"/>
      <c r="H28" s="21"/>
      <c r="J28" s="1" t="s">
        <v>35</v>
      </c>
      <c r="K28" s="1" t="s">
        <v>11</v>
      </c>
      <c r="L28" s="7">
        <f>N21</f>
        <v>58.05276197975909</v>
      </c>
      <c r="M28" s="1" t="s">
        <v>36</v>
      </c>
    </row>
    <row r="29" spans="2:19" x14ac:dyDescent="0.3">
      <c r="B29" s="1" t="s">
        <v>39</v>
      </c>
      <c r="C29" s="1" t="s">
        <v>11</v>
      </c>
      <c r="D29" s="7">
        <f>(PI()*D28)/(2*SQRT(2)*M5)</f>
        <v>0.37024024484653051</v>
      </c>
      <c r="E29" s="1" t="s">
        <v>41</v>
      </c>
      <c r="F29" s="21" t="s">
        <v>52</v>
      </c>
      <c r="G29" s="21"/>
      <c r="H29" s="21"/>
      <c r="J29" s="1" t="s">
        <v>57</v>
      </c>
      <c r="K29" s="1" t="s">
        <v>11</v>
      </c>
      <c r="L29" s="9">
        <f>D31</f>
        <v>0.54270227698500162</v>
      </c>
      <c r="M29" s="1" t="s">
        <v>41</v>
      </c>
    </row>
    <row r="30" spans="2:19" x14ac:dyDescent="0.3">
      <c r="B30" s="1" t="s">
        <v>43</v>
      </c>
      <c r="C30" s="1" t="s">
        <v>11</v>
      </c>
      <c r="D30" s="9">
        <f>(2*SQRT(2)*M5*E7)/(2*PI()*E24*1000*N22*10^-6*PI())</f>
        <v>0.39679707980362777</v>
      </c>
      <c r="E30" s="1" t="s">
        <v>41</v>
      </c>
      <c r="F30" s="21" t="s">
        <v>45</v>
      </c>
      <c r="G30" s="21"/>
      <c r="H30" s="21"/>
      <c r="J30" s="1" t="s">
        <v>54</v>
      </c>
      <c r="K30" s="1" t="s">
        <v>11</v>
      </c>
      <c r="L30" s="7">
        <f>2*PI()*E24*1000*L28*10^-6*L29</f>
        <v>4.6176346140231503</v>
      </c>
      <c r="M30" s="1" t="s">
        <v>2</v>
      </c>
      <c r="N30" s="1" t="s">
        <v>55</v>
      </c>
    </row>
    <row r="31" spans="2:19" x14ac:dyDescent="0.3">
      <c r="B31" s="1" t="s">
        <v>44</v>
      </c>
      <c r="C31" s="1" t="s">
        <v>11</v>
      </c>
      <c r="D31" s="9">
        <f>SQRT(D30^2+D29^2)</f>
        <v>0.54270227698500162</v>
      </c>
      <c r="E31" s="1" t="s">
        <v>41</v>
      </c>
      <c r="F31" s="21" t="s">
        <v>46</v>
      </c>
      <c r="G31" s="21"/>
      <c r="H31" s="21"/>
      <c r="J31" s="1" t="s">
        <v>54</v>
      </c>
      <c r="K31" s="1" t="s">
        <v>11</v>
      </c>
      <c r="L31" s="7">
        <f>2*PI()*E23*1000*L28*10^-6*D30</f>
        <v>7.0985525227958366</v>
      </c>
      <c r="M31" s="1" t="s">
        <v>2</v>
      </c>
      <c r="N31" s="1" t="s">
        <v>56</v>
      </c>
    </row>
    <row r="32" spans="2:19" x14ac:dyDescent="0.3">
      <c r="B32" s="1" t="s">
        <v>48</v>
      </c>
      <c r="C32" s="1" t="s">
        <v>11</v>
      </c>
      <c r="D32" s="7">
        <f>M5*D29</f>
        <v>1.8512012242326525</v>
      </c>
      <c r="E32" s="1" t="s">
        <v>41</v>
      </c>
      <c r="F32" s="21" t="s">
        <v>47</v>
      </c>
      <c r="G32" s="21"/>
      <c r="H32" s="21"/>
    </row>
    <row r="33" spans="2:16" x14ac:dyDescent="0.3">
      <c r="B33" s="1" t="s">
        <v>50</v>
      </c>
      <c r="C33" s="1" t="s">
        <v>11</v>
      </c>
      <c r="D33" s="7">
        <f>SQRT(2)*D32/2</f>
        <v>1.3089969389957472</v>
      </c>
      <c r="E33" s="1" t="s">
        <v>41</v>
      </c>
      <c r="F33" s="21" t="s">
        <v>49</v>
      </c>
      <c r="G33" s="21"/>
      <c r="H33" s="21"/>
    </row>
    <row r="36" spans="2:16" x14ac:dyDescent="0.3">
      <c r="C36" s="23" t="s">
        <v>59</v>
      </c>
      <c r="D36" s="24"/>
      <c r="E36" s="24"/>
      <c r="F36" s="25"/>
      <c r="J36" s="22" t="s">
        <v>64</v>
      </c>
      <c r="K36" s="22"/>
      <c r="L36" s="22"/>
      <c r="M36" s="22"/>
      <c r="N36" s="22"/>
    </row>
    <row r="38" spans="2:16" x14ac:dyDescent="0.3">
      <c r="B38" s="1" t="s">
        <v>60</v>
      </c>
      <c r="C38" s="1" t="s">
        <v>11</v>
      </c>
      <c r="D38" s="5">
        <f>D31/(2*PI()*E24*1000*N20*10^-9)</f>
        <v>14.969517905852083</v>
      </c>
      <c r="E38" s="1" t="s">
        <v>2</v>
      </c>
      <c r="F38" s="21" t="s">
        <v>63</v>
      </c>
      <c r="G38" s="21"/>
      <c r="H38" s="21"/>
      <c r="J38" s="1" t="s">
        <v>65</v>
      </c>
      <c r="K38" s="1" t="s">
        <v>66</v>
      </c>
      <c r="L38" s="1" t="s">
        <v>67</v>
      </c>
      <c r="M38" s="1" t="s">
        <v>11</v>
      </c>
      <c r="N38" s="5">
        <f>F4</f>
        <v>32</v>
      </c>
      <c r="O38" s="1" t="s">
        <v>2</v>
      </c>
    </row>
    <row r="39" spans="2:16" x14ac:dyDescent="0.3">
      <c r="B39" s="1" t="s">
        <v>61</v>
      </c>
      <c r="C39" s="1" t="s">
        <v>11</v>
      </c>
      <c r="D39" s="1">
        <f>SQRT((F4/2)^2+D38^2)</f>
        <v>21.910875526405288</v>
      </c>
      <c r="E39" s="1" t="s">
        <v>2</v>
      </c>
      <c r="F39" s="21"/>
      <c r="G39" s="21"/>
      <c r="H39" s="21"/>
      <c r="J39" s="1" t="s">
        <v>68</v>
      </c>
      <c r="K39" s="1" t="s">
        <v>69</v>
      </c>
      <c r="L39" s="1" t="s">
        <v>44</v>
      </c>
      <c r="M39" s="7" t="s">
        <v>11</v>
      </c>
      <c r="N39" s="9">
        <f>D31</f>
        <v>0.54270227698500162</v>
      </c>
      <c r="O39" s="1" t="s">
        <v>41</v>
      </c>
    </row>
    <row r="40" spans="2:16" x14ac:dyDescent="0.3">
      <c r="B40" s="1" t="s">
        <v>62</v>
      </c>
      <c r="C40" s="1" t="s">
        <v>11</v>
      </c>
      <c r="D40" s="5">
        <f>F4/2+SQRT(2)*236.602</f>
        <v>350.60575728459906</v>
      </c>
      <c r="E40" s="1" t="s">
        <v>2</v>
      </c>
      <c r="F40" s="21"/>
      <c r="G40" s="21"/>
      <c r="H40" s="21"/>
    </row>
    <row r="41" spans="2:16" x14ac:dyDescent="0.3">
      <c r="J41" s="21" t="s">
        <v>70</v>
      </c>
      <c r="K41" s="21"/>
      <c r="L41" s="21"/>
      <c r="M41" s="21"/>
      <c r="N41" s="21"/>
      <c r="O41" s="21"/>
      <c r="P41" s="21"/>
    </row>
    <row r="43" spans="2:16" x14ac:dyDescent="0.3">
      <c r="C43" s="22" t="s">
        <v>71</v>
      </c>
      <c r="D43" s="22"/>
      <c r="E43" s="22"/>
      <c r="F43" s="22"/>
      <c r="J43" s="23" t="s">
        <v>88</v>
      </c>
      <c r="K43" s="24"/>
      <c r="L43" s="24"/>
      <c r="M43" s="24"/>
      <c r="N43" s="25"/>
    </row>
    <row r="45" spans="2:16" x14ac:dyDescent="0.3">
      <c r="B45" s="1" t="s">
        <v>72</v>
      </c>
      <c r="C45" s="1" t="s">
        <v>11</v>
      </c>
      <c r="D45" s="6">
        <f>(M5*E5)/(2*PI()*E23*1000*N22*10^-6)</f>
        <v>0.20961865739320396</v>
      </c>
      <c r="E45" s="1" t="s">
        <v>41</v>
      </c>
      <c r="F45" s="1" t="s">
        <v>85</v>
      </c>
      <c r="J45" s="21" t="s">
        <v>89</v>
      </c>
      <c r="K45" s="21"/>
      <c r="L45" s="21"/>
      <c r="M45" s="21"/>
      <c r="N45" s="21"/>
    </row>
    <row r="47" spans="2:16" x14ac:dyDescent="0.3">
      <c r="B47" s="1" t="s">
        <v>73</v>
      </c>
      <c r="C47" s="21" t="s">
        <v>74</v>
      </c>
      <c r="D47" s="21"/>
      <c r="E47" s="1" t="s">
        <v>75</v>
      </c>
      <c r="F47" s="21" t="s">
        <v>81</v>
      </c>
      <c r="G47" s="21"/>
      <c r="J47" s="1" t="s">
        <v>90</v>
      </c>
      <c r="K47" s="1" t="s">
        <v>91</v>
      </c>
      <c r="L47" s="1" t="s">
        <v>11</v>
      </c>
      <c r="M47" s="1">
        <f>F4/M5</f>
        <v>6.4</v>
      </c>
      <c r="N47" s="1" t="s">
        <v>2</v>
      </c>
      <c r="O47" s="21" t="s">
        <v>93</v>
      </c>
      <c r="P47" s="21"/>
    </row>
    <row r="48" spans="2:16" x14ac:dyDescent="0.3">
      <c r="C48" s="1" t="s">
        <v>11</v>
      </c>
      <c r="D48" s="1">
        <f>0.5*(N22+N21)*10^-6*D45^2</f>
        <v>6.3770932225026637E-6</v>
      </c>
      <c r="E48" s="1" t="s">
        <v>75</v>
      </c>
      <c r="F48" s="1" t="s">
        <v>11</v>
      </c>
      <c r="G48" s="1">
        <f>0.5*2*G51*10^-12*F4^2</f>
        <v>4.0960000000000001E-7</v>
      </c>
      <c r="H48" s="1" t="str">
        <f>IF(D48 &gt; G48, "Yes", "No")</f>
        <v>Yes</v>
      </c>
      <c r="K48" s="1" t="s">
        <v>92</v>
      </c>
      <c r="L48" s="1" t="s">
        <v>11</v>
      </c>
      <c r="M48" s="1">
        <f>SQRT(2)*D32/PI()</f>
        <v>0.83333333333333337</v>
      </c>
      <c r="N48" s="1" t="s">
        <v>41</v>
      </c>
      <c r="O48" s="21" t="s">
        <v>94</v>
      </c>
      <c r="P48" s="21"/>
    </row>
    <row r="50" spans="2:17" x14ac:dyDescent="0.3">
      <c r="B50" s="10" t="s">
        <v>76</v>
      </c>
      <c r="C50" s="26" t="s">
        <v>77</v>
      </c>
      <c r="D50" s="26"/>
      <c r="E50" s="26"/>
      <c r="F50" s="26"/>
      <c r="G50" s="26"/>
      <c r="H50" s="27"/>
      <c r="J50" s="23" t="s">
        <v>95</v>
      </c>
      <c r="K50" s="24"/>
      <c r="L50" s="24"/>
      <c r="M50" s="24"/>
      <c r="N50" s="25"/>
    </row>
    <row r="51" spans="2:17" x14ac:dyDescent="0.3">
      <c r="B51" s="2"/>
      <c r="C51" s="3" t="s">
        <v>79</v>
      </c>
      <c r="D51" s="3">
        <v>200</v>
      </c>
      <c r="E51" s="3" t="s">
        <v>78</v>
      </c>
      <c r="F51" s="3" t="s">
        <v>80</v>
      </c>
      <c r="G51" s="3">
        <f>2*D51</f>
        <v>400</v>
      </c>
      <c r="H51" s="4" t="s">
        <v>78</v>
      </c>
    </row>
    <row r="52" spans="2:17" x14ac:dyDescent="0.3">
      <c r="J52" s="1" t="s">
        <v>96</v>
      </c>
      <c r="K52" s="1" t="s">
        <v>11</v>
      </c>
      <c r="L52" s="1">
        <f>(PI()*D28)/(2*SQRT(2))</f>
        <v>1.8512012242326525</v>
      </c>
      <c r="M52" s="21" t="s">
        <v>97</v>
      </c>
      <c r="N52" s="21"/>
      <c r="O52" s="21"/>
    </row>
    <row r="53" spans="2:17" x14ac:dyDescent="0.3">
      <c r="C53" s="1" t="s">
        <v>82</v>
      </c>
      <c r="D53" s="1" t="s">
        <v>75</v>
      </c>
      <c r="E53" s="21" t="s">
        <v>84</v>
      </c>
      <c r="F53" s="21"/>
      <c r="J53" s="1" t="s">
        <v>99</v>
      </c>
      <c r="K53" s="1" t="s">
        <v>11</v>
      </c>
      <c r="L53" s="1">
        <f>SQRT(L52^2-D28^2)</f>
        <v>0.80570974601446488</v>
      </c>
      <c r="M53" s="21" t="s">
        <v>98</v>
      </c>
      <c r="N53" s="21"/>
      <c r="O53" s="21"/>
    </row>
    <row r="54" spans="2:17" x14ac:dyDescent="0.3">
      <c r="D54" s="1" t="s">
        <v>75</v>
      </c>
      <c r="E54" s="5">
        <f>ROUND(16*G51*10^-12*E23*1000*N22*10^-6*10^9, 0)</f>
        <v>73</v>
      </c>
      <c r="F54" s="1" t="s">
        <v>83</v>
      </c>
    </row>
    <row r="55" spans="2:17" x14ac:dyDescent="0.3">
      <c r="J55" s="21" t="s">
        <v>100</v>
      </c>
      <c r="K55" s="21"/>
      <c r="L55" s="21"/>
      <c r="M55" s="21"/>
      <c r="N55" s="21"/>
      <c r="O55" s="21"/>
      <c r="P55" s="21"/>
      <c r="Q55" s="21"/>
    </row>
  </sheetData>
  <mergeCells count="37">
    <mergeCell ref="J55:Q55"/>
    <mergeCell ref="O48:P48"/>
    <mergeCell ref="C50:H50"/>
    <mergeCell ref="J50:N50"/>
    <mergeCell ref="M52:O52"/>
    <mergeCell ref="E53:F53"/>
    <mergeCell ref="M53:O53"/>
    <mergeCell ref="O47:P47"/>
    <mergeCell ref="C36:F36"/>
    <mergeCell ref="J36:N36"/>
    <mergeCell ref="F38:H38"/>
    <mergeCell ref="F39:H39"/>
    <mergeCell ref="F40:H40"/>
    <mergeCell ref="J41:P41"/>
    <mergeCell ref="C43:F43"/>
    <mergeCell ref="J43:N43"/>
    <mergeCell ref="J45:N45"/>
    <mergeCell ref="C47:D47"/>
    <mergeCell ref="F47:G47"/>
    <mergeCell ref="F33:H33"/>
    <mergeCell ref="B14:D14"/>
    <mergeCell ref="L18:O18"/>
    <mergeCell ref="G19:H19"/>
    <mergeCell ref="F21:K21"/>
    <mergeCell ref="B26:G26"/>
    <mergeCell ref="J26:M26"/>
    <mergeCell ref="F28:H28"/>
    <mergeCell ref="F29:H29"/>
    <mergeCell ref="F30:H30"/>
    <mergeCell ref="F31:H31"/>
    <mergeCell ref="F32:H32"/>
    <mergeCell ref="L13:O13"/>
    <mergeCell ref="E1:M1"/>
    <mergeCell ref="C3:G3"/>
    <mergeCell ref="J3:L3"/>
    <mergeCell ref="J7:L7"/>
    <mergeCell ref="B12:E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7CC70-1918-408A-A712-4C987CE26B6B}">
  <dimension ref="B1:V55"/>
  <sheetViews>
    <sheetView zoomScaleNormal="100" workbookViewId="0">
      <selection activeCell="R10" sqref="R10"/>
    </sheetView>
  </sheetViews>
  <sheetFormatPr defaultColWidth="8.88671875" defaultRowHeight="14.4" x14ac:dyDescent="0.3"/>
  <cols>
    <col min="1" max="2" width="8.88671875" style="1"/>
    <col min="3" max="3" width="10" style="1" bestFit="1" customWidth="1"/>
    <col min="4" max="5" width="12" style="1" bestFit="1" customWidth="1"/>
    <col min="6" max="6" width="8.88671875" style="1"/>
    <col min="7" max="7" width="10.88671875" style="1" bestFit="1" customWidth="1"/>
    <col min="8" max="8" width="11.6640625" style="1" customWidth="1"/>
    <col min="9" max="11" width="8.88671875" style="1"/>
    <col min="12" max="12" width="12" style="1" bestFit="1" customWidth="1"/>
    <col min="13" max="13" width="8.88671875" style="1"/>
    <col min="14" max="14" width="12" style="1" bestFit="1" customWidth="1"/>
    <col min="15" max="16" width="8.88671875" style="1"/>
    <col min="17" max="17" width="12" style="1" bestFit="1" customWidth="1"/>
    <col min="18" max="18" width="8.88671875" style="1"/>
    <col min="19" max="19" width="12" style="1" bestFit="1" customWidth="1"/>
    <col min="20" max="16384" width="8.88671875" style="1"/>
  </cols>
  <sheetData>
    <row r="1" spans="2:22" ht="26.4" thickBot="1" x14ac:dyDescent="0.35">
      <c r="E1" s="28" t="s">
        <v>58</v>
      </c>
      <c r="F1" s="29"/>
      <c r="G1" s="29"/>
      <c r="H1" s="29"/>
      <c r="I1" s="29"/>
      <c r="J1" s="29"/>
      <c r="K1" s="29"/>
      <c r="L1" s="29"/>
      <c r="M1" s="30"/>
    </row>
    <row r="2" spans="2:22" ht="15" thickBot="1" x14ac:dyDescent="0.35">
      <c r="T2" s="10" t="s">
        <v>106</v>
      </c>
      <c r="U2" s="20">
        <v>5</v>
      </c>
      <c r="V2" s="16"/>
    </row>
    <row r="3" spans="2:22" ht="15" thickBot="1" x14ac:dyDescent="0.35">
      <c r="C3" s="31" t="s">
        <v>0</v>
      </c>
      <c r="D3" s="32"/>
      <c r="E3" s="32"/>
      <c r="F3" s="32"/>
      <c r="G3" s="33"/>
      <c r="J3" s="23" t="s">
        <v>12</v>
      </c>
      <c r="K3" s="24"/>
      <c r="L3" s="25"/>
      <c r="T3" s="17" t="s">
        <v>1</v>
      </c>
      <c r="U3" s="1">
        <v>60</v>
      </c>
      <c r="V3" s="18" t="s">
        <v>2</v>
      </c>
    </row>
    <row r="4" spans="2:22" x14ac:dyDescent="0.3">
      <c r="C4" s="11" t="s">
        <v>1</v>
      </c>
      <c r="E4" s="1">
        <v>118</v>
      </c>
      <c r="F4" s="1">
        <v>122</v>
      </c>
      <c r="G4" s="12" t="s">
        <v>2</v>
      </c>
      <c r="T4" s="17" t="s">
        <v>103</v>
      </c>
      <c r="U4" s="1">
        <v>6</v>
      </c>
      <c r="V4" s="18" t="s">
        <v>2</v>
      </c>
    </row>
    <row r="5" spans="2:22" x14ac:dyDescent="0.3">
      <c r="C5" s="11" t="s">
        <v>3</v>
      </c>
      <c r="E5" s="1">
        <v>11</v>
      </c>
      <c r="F5" s="1">
        <v>13</v>
      </c>
      <c r="G5" s="12" t="s">
        <v>2</v>
      </c>
      <c r="J5" s="1" t="s">
        <v>10</v>
      </c>
      <c r="K5" s="1" t="s">
        <v>11</v>
      </c>
      <c r="L5" s="1">
        <f>E6/(2*E7)</f>
        <v>5</v>
      </c>
      <c r="M5" s="5">
        <f>ROUNDUP(L5, 0)</f>
        <v>5</v>
      </c>
      <c r="T5" s="17" t="s">
        <v>104</v>
      </c>
      <c r="U5" s="1">
        <v>18</v>
      </c>
      <c r="V5" s="18" t="s">
        <v>7</v>
      </c>
    </row>
    <row r="6" spans="2:22" x14ac:dyDescent="0.3">
      <c r="C6" s="11" t="s">
        <v>4</v>
      </c>
      <c r="E6" s="1">
        <v>120</v>
      </c>
      <c r="G6" s="12" t="s">
        <v>2</v>
      </c>
      <c r="T6" s="17" t="s">
        <v>40</v>
      </c>
      <c r="U6" s="1">
        <f>U5/U4</f>
        <v>3</v>
      </c>
      <c r="V6" s="18" t="s">
        <v>41</v>
      </c>
    </row>
    <row r="7" spans="2:22" x14ac:dyDescent="0.3">
      <c r="C7" s="11" t="s">
        <v>5</v>
      </c>
      <c r="E7" s="1">
        <v>12</v>
      </c>
      <c r="G7" s="12" t="s">
        <v>2</v>
      </c>
      <c r="J7" s="23" t="s">
        <v>13</v>
      </c>
      <c r="K7" s="24"/>
      <c r="L7" s="25"/>
      <c r="T7" s="17" t="s">
        <v>105</v>
      </c>
      <c r="U7" s="1">
        <f>U5/U6^2</f>
        <v>2</v>
      </c>
      <c r="V7" s="18" t="s">
        <v>42</v>
      </c>
    </row>
    <row r="8" spans="2:22" x14ac:dyDescent="0.3">
      <c r="C8" s="11" t="s">
        <v>6</v>
      </c>
      <c r="E8" s="1">
        <v>36</v>
      </c>
      <c r="G8" s="12" t="s">
        <v>7</v>
      </c>
      <c r="T8" s="17" t="s">
        <v>31</v>
      </c>
      <c r="U8" s="1">
        <f>8*U2^2*U7/PI()^2</f>
        <v>40.52847345693511</v>
      </c>
      <c r="V8" s="18" t="s">
        <v>42</v>
      </c>
    </row>
    <row r="9" spans="2:22" ht="15" thickBot="1" x14ac:dyDescent="0.35">
      <c r="C9" s="13" t="s">
        <v>8</v>
      </c>
      <c r="D9" s="14"/>
      <c r="E9" s="19">
        <v>18.757000000000001</v>
      </c>
      <c r="F9" s="14"/>
      <c r="G9" s="15" t="s">
        <v>9</v>
      </c>
      <c r="J9" s="1" t="s">
        <v>14</v>
      </c>
      <c r="K9" s="1" t="s">
        <v>11</v>
      </c>
      <c r="L9" s="8">
        <f>M5*F5*2/E4</f>
        <v>1.1016949152542372</v>
      </c>
      <c r="T9" s="17" t="s">
        <v>20</v>
      </c>
      <c r="U9" s="1">
        <f>10^6/(U10*2*PI()*E9*U8)</f>
        <v>2.3262372074349966</v>
      </c>
      <c r="V9" s="18"/>
    </row>
    <row r="10" spans="2:22" x14ac:dyDescent="0.3">
      <c r="J10" s="1" t="s">
        <v>15</v>
      </c>
      <c r="K10" s="1" t="s">
        <v>11</v>
      </c>
      <c r="L10" s="8">
        <f>M5*2*E5/F4</f>
        <v>0.90163934426229508</v>
      </c>
      <c r="T10" s="17" t="s">
        <v>33</v>
      </c>
      <c r="U10" s="1">
        <v>90</v>
      </c>
      <c r="V10" s="18" t="s">
        <v>34</v>
      </c>
    </row>
    <row r="11" spans="2:22" x14ac:dyDescent="0.3">
      <c r="T11" s="17" t="s">
        <v>35</v>
      </c>
      <c r="U11" s="1">
        <v>800</v>
      </c>
      <c r="V11" s="18" t="s">
        <v>36</v>
      </c>
    </row>
    <row r="12" spans="2:22" x14ac:dyDescent="0.3">
      <c r="B12" s="23" t="s">
        <v>16</v>
      </c>
      <c r="C12" s="24"/>
      <c r="D12" s="24"/>
      <c r="E12" s="25"/>
      <c r="T12" s="2" t="s">
        <v>37</v>
      </c>
      <c r="U12" s="3">
        <v>3779.45</v>
      </c>
      <c r="V12" s="4" t="s">
        <v>36</v>
      </c>
    </row>
    <row r="13" spans="2:22" x14ac:dyDescent="0.3">
      <c r="L13" s="23" t="s">
        <v>87</v>
      </c>
      <c r="M13" s="24"/>
      <c r="N13" s="24"/>
      <c r="O13" s="25"/>
    </row>
    <row r="14" spans="2:22" x14ac:dyDescent="0.3">
      <c r="B14" s="21" t="s">
        <v>17</v>
      </c>
      <c r="C14" s="21"/>
      <c r="D14" s="21"/>
      <c r="E14" s="1" t="s">
        <v>18</v>
      </c>
      <c r="F14" s="1" t="s">
        <v>19</v>
      </c>
      <c r="G14" s="1" t="s">
        <v>11</v>
      </c>
      <c r="H14" s="5">
        <v>4.7249999999999996</v>
      </c>
    </row>
    <row r="15" spans="2:22" x14ac:dyDescent="0.3">
      <c r="F15" s="1" t="s">
        <v>20</v>
      </c>
      <c r="G15" s="1" t="s">
        <v>11</v>
      </c>
      <c r="H15" s="5">
        <v>1.163</v>
      </c>
      <c r="L15" s="1" t="s">
        <v>86</v>
      </c>
      <c r="M15" s="1" t="s">
        <v>11</v>
      </c>
      <c r="N15" s="1">
        <v>4</v>
      </c>
      <c r="O15" s="1" t="s">
        <v>42</v>
      </c>
      <c r="R15" s="10" t="s">
        <v>101</v>
      </c>
      <c r="S15" s="16"/>
    </row>
    <row r="16" spans="2:22" x14ac:dyDescent="0.3">
      <c r="L16" s="1" t="s">
        <v>31</v>
      </c>
      <c r="M16" s="1" t="s">
        <v>11</v>
      </c>
      <c r="N16" s="9">
        <f>(8*M5^2*N15)/(PI()^2)</f>
        <v>81.05694691387022</v>
      </c>
      <c r="O16" s="1" t="s">
        <v>42</v>
      </c>
      <c r="R16" s="17" t="s">
        <v>33</v>
      </c>
      <c r="S16" s="18">
        <f>10^9/(2*PI()*E9*1000*N16*H15)</f>
        <v>90.009178275644757</v>
      </c>
    </row>
    <row r="17" spans="2:19" x14ac:dyDescent="0.3">
      <c r="C17" s="1" t="s">
        <v>21</v>
      </c>
      <c r="D17" s="1" t="s">
        <v>11</v>
      </c>
      <c r="E17" s="5">
        <f>SQRT(L10/(L10*(H14+1)-H14))</f>
        <v>1.4365896660730633</v>
      </c>
      <c r="R17" s="17" t="s">
        <v>102</v>
      </c>
      <c r="S17" s="18"/>
    </row>
    <row r="18" spans="2:19" x14ac:dyDescent="0.3">
      <c r="E18" s="5"/>
      <c r="L18" s="23" t="s">
        <v>32</v>
      </c>
      <c r="M18" s="24"/>
      <c r="N18" s="24"/>
      <c r="O18" s="25"/>
      <c r="R18" s="17" t="s">
        <v>35</v>
      </c>
      <c r="S18" s="18">
        <f>10^6/((2*PI()*E9*1000)^2*N20*10^-9)</f>
        <v>799.88344715702965</v>
      </c>
    </row>
    <row r="19" spans="2:19" x14ac:dyDescent="0.3">
      <c r="C19" s="1" t="s">
        <v>23</v>
      </c>
      <c r="D19" s="1" t="s">
        <v>11</v>
      </c>
      <c r="E19" s="1">
        <v>1.4850000000000001</v>
      </c>
      <c r="F19" s="1" t="s">
        <v>22</v>
      </c>
      <c r="G19" s="21" t="s">
        <v>24</v>
      </c>
      <c r="H19" s="21"/>
      <c r="R19" s="17"/>
      <c r="S19" s="18"/>
    </row>
    <row r="20" spans="2:19" x14ac:dyDescent="0.3">
      <c r="B20" s="1" t="s">
        <v>25</v>
      </c>
      <c r="C20" s="1" t="s">
        <v>14</v>
      </c>
      <c r="D20" s="1" t="s">
        <v>11</v>
      </c>
      <c r="E20" s="6">
        <f>L9</f>
        <v>1.1016949152542372</v>
      </c>
      <c r="L20" s="1" t="s">
        <v>33</v>
      </c>
      <c r="M20" s="1" t="s">
        <v>11</v>
      </c>
      <c r="N20" s="9">
        <f>10^9/(2*PI()*E9*1000*N16*H15)</f>
        <v>90.009178275644757</v>
      </c>
      <c r="O20" s="1" t="s">
        <v>34</v>
      </c>
      <c r="Q20" s="1" t="s">
        <v>19</v>
      </c>
      <c r="R20" s="17"/>
      <c r="S20" s="18"/>
    </row>
    <row r="21" spans="2:19" x14ac:dyDescent="0.3">
      <c r="B21" s="1" t="s">
        <v>26</v>
      </c>
      <c r="C21" s="1" t="s">
        <v>27</v>
      </c>
      <c r="D21" s="1" t="s">
        <v>11</v>
      </c>
      <c r="E21" s="5">
        <v>0.5554</v>
      </c>
      <c r="F21" s="21" t="s">
        <v>28</v>
      </c>
      <c r="G21" s="21"/>
      <c r="H21" s="21"/>
      <c r="I21" s="21"/>
      <c r="J21" s="21"/>
      <c r="K21" s="21"/>
      <c r="L21" s="1" t="s">
        <v>35</v>
      </c>
      <c r="M21" s="1" t="s">
        <v>11</v>
      </c>
      <c r="N21" s="9">
        <f>10^6/((2*PI()*E9*1000)^2*N20*10^-9)</f>
        <v>799.88344715702965</v>
      </c>
      <c r="O21" s="1" t="s">
        <v>36</v>
      </c>
      <c r="P21" s="1">
        <v>60.259</v>
      </c>
      <c r="Q21" s="1">
        <f>P22/P21</f>
        <v>3.8430773826316402</v>
      </c>
      <c r="R21" s="17" t="s">
        <v>101</v>
      </c>
      <c r="S21" s="18"/>
    </row>
    <row r="22" spans="2:19" x14ac:dyDescent="0.3">
      <c r="L22" s="1" t="s">
        <v>37</v>
      </c>
      <c r="M22" s="1" t="s">
        <v>11</v>
      </c>
      <c r="N22" s="9">
        <f>H14*N21</f>
        <v>3779.4492878169649</v>
      </c>
      <c r="O22" s="1" t="s">
        <v>36</v>
      </c>
      <c r="P22" s="1">
        <v>231.58</v>
      </c>
      <c r="R22" s="17" t="s">
        <v>35</v>
      </c>
      <c r="S22" s="18"/>
    </row>
    <row r="23" spans="2:19" x14ac:dyDescent="0.3">
      <c r="B23" s="1" t="s">
        <v>26</v>
      </c>
      <c r="C23" s="1" t="s">
        <v>30</v>
      </c>
      <c r="D23" s="1" t="s">
        <v>11</v>
      </c>
      <c r="E23" s="5">
        <f>E17*E9</f>
        <v>26.94611236653245</v>
      </c>
      <c r="F23" s="1" t="s">
        <v>9</v>
      </c>
      <c r="R23" s="17" t="s">
        <v>102</v>
      </c>
      <c r="S23" s="18"/>
    </row>
    <row r="24" spans="2:19" x14ac:dyDescent="0.3">
      <c r="C24" s="1" t="s">
        <v>29</v>
      </c>
      <c r="D24" s="1" t="s">
        <v>11</v>
      </c>
      <c r="E24" s="5">
        <f>E21*E9</f>
        <v>10.417637800000001</v>
      </c>
      <c r="F24" s="1" t="s">
        <v>9</v>
      </c>
      <c r="R24" s="2" t="s">
        <v>33</v>
      </c>
      <c r="S24" s="4"/>
    </row>
    <row r="26" spans="2:19" x14ac:dyDescent="0.3">
      <c r="B26" s="23" t="s">
        <v>38</v>
      </c>
      <c r="C26" s="24"/>
      <c r="D26" s="24"/>
      <c r="E26" s="24"/>
      <c r="F26" s="24"/>
      <c r="G26" s="25"/>
      <c r="J26" s="23" t="s">
        <v>53</v>
      </c>
      <c r="K26" s="24"/>
      <c r="L26" s="24"/>
      <c r="M26" s="25"/>
    </row>
    <row r="28" spans="2:19" x14ac:dyDescent="0.3">
      <c r="B28" s="1" t="s">
        <v>40</v>
      </c>
      <c r="C28" s="1" t="s">
        <v>11</v>
      </c>
      <c r="D28" s="5">
        <f>E8/E7</f>
        <v>3</v>
      </c>
      <c r="E28" s="1" t="s">
        <v>41</v>
      </c>
      <c r="F28" s="21" t="s">
        <v>51</v>
      </c>
      <c r="G28" s="21"/>
      <c r="H28" s="21"/>
      <c r="J28" s="1" t="s">
        <v>35</v>
      </c>
      <c r="K28" s="1" t="s">
        <v>11</v>
      </c>
      <c r="L28" s="7">
        <f>N21</f>
        <v>799.88344715702965</v>
      </c>
      <c r="M28" s="1" t="s">
        <v>36</v>
      </c>
    </row>
    <row r="29" spans="2:19" x14ac:dyDescent="0.3">
      <c r="B29" s="1" t="s">
        <v>39</v>
      </c>
      <c r="C29" s="1" t="s">
        <v>11</v>
      </c>
      <c r="D29" s="7">
        <f>(PI()*D28)/(2*SQRT(2)*M5)</f>
        <v>0.66643244072375485</v>
      </c>
      <c r="E29" s="1" t="s">
        <v>41</v>
      </c>
      <c r="F29" s="21" t="s">
        <v>52</v>
      </c>
      <c r="G29" s="21"/>
      <c r="H29" s="21"/>
      <c r="J29" s="1" t="s">
        <v>57</v>
      </c>
      <c r="K29" s="1" t="s">
        <v>11</v>
      </c>
      <c r="L29" s="9">
        <f>D31</f>
        <v>0.70129332700564362</v>
      </c>
      <c r="M29" s="1" t="s">
        <v>41</v>
      </c>
    </row>
    <row r="30" spans="2:19" x14ac:dyDescent="0.3">
      <c r="B30" s="1" t="s">
        <v>43</v>
      </c>
      <c r="C30" s="1" t="s">
        <v>11</v>
      </c>
      <c r="D30" s="9">
        <f>(2*SQRT(2)*M5*E7)/(2*PI()*E24*1000*N22*10^-6*PI())</f>
        <v>0.21835780831841936</v>
      </c>
      <c r="E30" s="1" t="s">
        <v>41</v>
      </c>
      <c r="F30" s="21" t="s">
        <v>45</v>
      </c>
      <c r="G30" s="21"/>
      <c r="H30" s="21"/>
      <c r="J30" s="1" t="s">
        <v>54</v>
      </c>
      <c r="K30" s="1" t="s">
        <v>11</v>
      </c>
      <c r="L30" s="7">
        <f>2*PI()*E24*1000*L28*10^-6*L29</f>
        <v>36.717705842104266</v>
      </c>
      <c r="M30" s="1" t="s">
        <v>2</v>
      </c>
      <c r="N30" s="1" t="s">
        <v>55</v>
      </c>
    </row>
    <row r="31" spans="2:19" x14ac:dyDescent="0.3">
      <c r="B31" s="1" t="s">
        <v>44</v>
      </c>
      <c r="C31" s="1" t="s">
        <v>11</v>
      </c>
      <c r="D31" s="9">
        <f>SQRT(D30^2+D29^2)</f>
        <v>0.70129332700564362</v>
      </c>
      <c r="E31" s="1" t="s">
        <v>41</v>
      </c>
      <c r="F31" s="21" t="s">
        <v>46</v>
      </c>
      <c r="G31" s="21"/>
      <c r="H31" s="21"/>
      <c r="J31" s="1" t="s">
        <v>54</v>
      </c>
      <c r="K31" s="1" t="s">
        <v>11</v>
      </c>
      <c r="L31" s="7">
        <f>2*PI()*E23*1000*L28*10^-6*D30</f>
        <v>29.571368348583718</v>
      </c>
      <c r="M31" s="1" t="s">
        <v>2</v>
      </c>
      <c r="N31" s="1" t="s">
        <v>56</v>
      </c>
    </row>
    <row r="32" spans="2:19" x14ac:dyDescent="0.3">
      <c r="B32" s="1" t="s">
        <v>48</v>
      </c>
      <c r="C32" s="1" t="s">
        <v>11</v>
      </c>
      <c r="D32" s="7">
        <f>M5*D29</f>
        <v>3.3321622036187741</v>
      </c>
      <c r="E32" s="1" t="s">
        <v>41</v>
      </c>
      <c r="F32" s="21" t="s">
        <v>47</v>
      </c>
      <c r="G32" s="21"/>
      <c r="H32" s="21"/>
    </row>
    <row r="33" spans="2:16" x14ac:dyDescent="0.3">
      <c r="B33" s="1" t="s">
        <v>50</v>
      </c>
      <c r="C33" s="1" t="s">
        <v>11</v>
      </c>
      <c r="D33" s="7">
        <f>SQRT(2)*D32/2</f>
        <v>2.3561944901923448</v>
      </c>
      <c r="E33" s="1" t="s">
        <v>41</v>
      </c>
      <c r="F33" s="21" t="s">
        <v>49</v>
      </c>
      <c r="G33" s="21"/>
      <c r="H33" s="21"/>
    </row>
    <row r="36" spans="2:16" x14ac:dyDescent="0.3">
      <c r="C36" s="23" t="s">
        <v>59</v>
      </c>
      <c r="D36" s="24"/>
      <c r="E36" s="24"/>
      <c r="F36" s="25"/>
      <c r="J36" s="22" t="s">
        <v>64</v>
      </c>
      <c r="K36" s="22"/>
      <c r="L36" s="22"/>
      <c r="M36" s="22"/>
      <c r="N36" s="22"/>
    </row>
    <row r="38" spans="2:16" x14ac:dyDescent="0.3">
      <c r="B38" s="1" t="s">
        <v>60</v>
      </c>
      <c r="C38" s="1" t="s">
        <v>11</v>
      </c>
      <c r="D38" s="5">
        <f>D31/(2*PI()*E24*1000*N20*10^-9)</f>
        <v>119.03201552500177</v>
      </c>
      <c r="E38" s="1" t="s">
        <v>2</v>
      </c>
      <c r="F38" s="21" t="s">
        <v>63</v>
      </c>
      <c r="G38" s="21"/>
      <c r="H38" s="21"/>
      <c r="J38" s="1" t="s">
        <v>65</v>
      </c>
      <c r="K38" s="1" t="s">
        <v>66</v>
      </c>
      <c r="L38" s="1" t="s">
        <v>67</v>
      </c>
      <c r="M38" s="1" t="s">
        <v>11</v>
      </c>
      <c r="N38" s="5">
        <f>F4</f>
        <v>122</v>
      </c>
      <c r="O38" s="1" t="s">
        <v>2</v>
      </c>
    </row>
    <row r="39" spans="2:16" x14ac:dyDescent="0.3">
      <c r="B39" s="1" t="s">
        <v>61</v>
      </c>
      <c r="C39" s="1" t="s">
        <v>11</v>
      </c>
      <c r="D39" s="1">
        <f>SQRT((F4/2)^2+D38^2)</f>
        <v>133.75208678725076</v>
      </c>
      <c r="E39" s="1" t="s">
        <v>2</v>
      </c>
      <c r="F39" s="21"/>
      <c r="G39" s="21"/>
      <c r="H39" s="21"/>
      <c r="J39" s="1" t="s">
        <v>68</v>
      </c>
      <c r="K39" s="1" t="s">
        <v>69</v>
      </c>
      <c r="L39" s="1" t="s">
        <v>44</v>
      </c>
      <c r="M39" s="7" t="s">
        <v>11</v>
      </c>
      <c r="N39" s="9">
        <f>D31</f>
        <v>0.70129332700564362</v>
      </c>
      <c r="O39" s="1" t="s">
        <v>41</v>
      </c>
    </row>
    <row r="40" spans="2:16" x14ac:dyDescent="0.3">
      <c r="B40" s="1" t="s">
        <v>62</v>
      </c>
      <c r="C40" s="1" t="s">
        <v>11</v>
      </c>
      <c r="D40" s="5">
        <f>F4/2+SQRT(2)*236.602</f>
        <v>395.60575728459906</v>
      </c>
      <c r="E40" s="1" t="s">
        <v>2</v>
      </c>
      <c r="F40" s="21"/>
      <c r="G40" s="21"/>
      <c r="H40" s="21"/>
    </row>
    <row r="41" spans="2:16" x14ac:dyDescent="0.3">
      <c r="J41" s="21" t="s">
        <v>70</v>
      </c>
      <c r="K41" s="21"/>
      <c r="L41" s="21"/>
      <c r="M41" s="21"/>
      <c r="N41" s="21"/>
      <c r="O41" s="21"/>
      <c r="P41" s="21"/>
    </row>
    <row r="43" spans="2:16" x14ac:dyDescent="0.3">
      <c r="C43" s="22" t="s">
        <v>71</v>
      </c>
      <c r="D43" s="22"/>
      <c r="E43" s="22"/>
      <c r="F43" s="22"/>
      <c r="J43" s="23" t="s">
        <v>88</v>
      </c>
      <c r="K43" s="24"/>
      <c r="L43" s="24"/>
      <c r="M43" s="24"/>
      <c r="N43" s="25"/>
    </row>
    <row r="45" spans="2:16" x14ac:dyDescent="0.3">
      <c r="B45" s="1" t="s">
        <v>72</v>
      </c>
      <c r="C45" s="1" t="s">
        <v>11</v>
      </c>
      <c r="D45" s="6">
        <f>(M5*E5)/(2*PI()*E23*1000*N22*10^-6)</f>
        <v>8.5952434535918248E-2</v>
      </c>
      <c r="E45" s="1" t="s">
        <v>41</v>
      </c>
      <c r="F45" s="1" t="s">
        <v>85</v>
      </c>
      <c r="J45" s="21" t="s">
        <v>89</v>
      </c>
      <c r="K45" s="21"/>
      <c r="L45" s="21"/>
      <c r="M45" s="21"/>
      <c r="N45" s="21"/>
    </row>
    <row r="47" spans="2:16" x14ac:dyDescent="0.3">
      <c r="B47" s="1" t="s">
        <v>73</v>
      </c>
      <c r="C47" s="21" t="s">
        <v>74</v>
      </c>
      <c r="D47" s="21"/>
      <c r="E47" s="1" t="s">
        <v>75</v>
      </c>
      <c r="F47" s="21" t="s">
        <v>81</v>
      </c>
      <c r="G47" s="21"/>
      <c r="J47" s="1" t="s">
        <v>90</v>
      </c>
      <c r="K47" s="1" t="s">
        <v>91</v>
      </c>
      <c r="L47" s="1" t="s">
        <v>11</v>
      </c>
      <c r="M47" s="1">
        <f>F4/M5</f>
        <v>24.4</v>
      </c>
      <c r="N47" s="1" t="s">
        <v>2</v>
      </c>
      <c r="O47" s="21" t="s">
        <v>93</v>
      </c>
      <c r="P47" s="21"/>
    </row>
    <row r="48" spans="2:16" x14ac:dyDescent="0.3">
      <c r="C48" s="1" t="s">
        <v>11</v>
      </c>
      <c r="D48" s="1">
        <f>0.5*(N22+N21)*10^-6*D45^2</f>
        <v>1.6915645278784775E-5</v>
      </c>
      <c r="E48" s="1" t="s">
        <v>75</v>
      </c>
      <c r="F48" s="1" t="s">
        <v>11</v>
      </c>
      <c r="G48" s="1">
        <f>0.5*2*G51*10^-12*F4^2</f>
        <v>5.9536000000000001E-6</v>
      </c>
      <c r="H48" s="1" t="str">
        <f>IF(D48 &gt; G48, "Yes", "No")</f>
        <v>Yes</v>
      </c>
      <c r="K48" s="1" t="s">
        <v>92</v>
      </c>
      <c r="L48" s="1" t="s">
        <v>11</v>
      </c>
      <c r="M48" s="1">
        <f>SQRT(2)*D32/PI()</f>
        <v>1.5</v>
      </c>
      <c r="N48" s="1" t="s">
        <v>41</v>
      </c>
      <c r="O48" s="21" t="s">
        <v>94</v>
      </c>
      <c r="P48" s="21"/>
    </row>
    <row r="50" spans="2:17" x14ac:dyDescent="0.3">
      <c r="B50" s="10" t="s">
        <v>76</v>
      </c>
      <c r="C50" s="26" t="s">
        <v>77</v>
      </c>
      <c r="D50" s="26"/>
      <c r="E50" s="26"/>
      <c r="F50" s="26"/>
      <c r="G50" s="26"/>
      <c r="H50" s="27"/>
      <c r="J50" s="23" t="s">
        <v>95</v>
      </c>
      <c r="K50" s="24"/>
      <c r="L50" s="24"/>
      <c r="M50" s="24"/>
      <c r="N50" s="25"/>
    </row>
    <row r="51" spans="2:17" x14ac:dyDescent="0.3">
      <c r="B51" s="2"/>
      <c r="C51" s="3" t="s">
        <v>79</v>
      </c>
      <c r="D51" s="3">
        <v>200</v>
      </c>
      <c r="E51" s="3" t="s">
        <v>78</v>
      </c>
      <c r="F51" s="3" t="s">
        <v>80</v>
      </c>
      <c r="G51" s="3">
        <f>2*D51</f>
        <v>400</v>
      </c>
      <c r="H51" s="4" t="s">
        <v>78</v>
      </c>
    </row>
    <row r="52" spans="2:17" x14ac:dyDescent="0.3">
      <c r="J52" s="1" t="s">
        <v>96</v>
      </c>
      <c r="K52" s="1" t="s">
        <v>11</v>
      </c>
      <c r="L52" s="1">
        <f>(PI()*D28)/(2*SQRT(2))</f>
        <v>3.3321622036187741</v>
      </c>
      <c r="M52" s="21" t="s">
        <v>97</v>
      </c>
      <c r="N52" s="21"/>
      <c r="O52" s="21"/>
    </row>
    <row r="53" spans="2:17" x14ac:dyDescent="0.3">
      <c r="C53" s="1" t="s">
        <v>82</v>
      </c>
      <c r="D53" s="1" t="s">
        <v>75</v>
      </c>
      <c r="E53" s="21" t="s">
        <v>84</v>
      </c>
      <c r="F53" s="21"/>
      <c r="J53" s="1" t="s">
        <v>99</v>
      </c>
      <c r="K53" s="1" t="s">
        <v>11</v>
      </c>
      <c r="L53" s="1">
        <f>SQRT(L52^2-D28^2)</f>
        <v>1.4502775428260359</v>
      </c>
      <c r="M53" s="21" t="s">
        <v>98</v>
      </c>
      <c r="N53" s="21"/>
      <c r="O53" s="21"/>
    </row>
    <row r="54" spans="2:17" x14ac:dyDescent="0.3">
      <c r="D54" s="1" t="s">
        <v>75</v>
      </c>
      <c r="E54" s="5">
        <f>ROUND(16*G51*10^-12*E23*1000*N22*10^-6*10^9, 0)</f>
        <v>652</v>
      </c>
      <c r="F54" s="1" t="s">
        <v>83</v>
      </c>
    </row>
    <row r="55" spans="2:17" x14ac:dyDescent="0.3">
      <c r="J55" s="21" t="s">
        <v>100</v>
      </c>
      <c r="K55" s="21"/>
      <c r="L55" s="21"/>
      <c r="M55" s="21"/>
      <c r="N55" s="21"/>
      <c r="O55" s="21"/>
      <c r="P55" s="21"/>
      <c r="Q55" s="21"/>
    </row>
  </sheetData>
  <mergeCells count="37">
    <mergeCell ref="L13:O13"/>
    <mergeCell ref="E1:M1"/>
    <mergeCell ref="C3:G3"/>
    <mergeCell ref="J3:L3"/>
    <mergeCell ref="J7:L7"/>
    <mergeCell ref="B12:E12"/>
    <mergeCell ref="F33:H33"/>
    <mergeCell ref="B14:D14"/>
    <mergeCell ref="L18:O18"/>
    <mergeCell ref="G19:H19"/>
    <mergeCell ref="F21:K21"/>
    <mergeCell ref="B26:G26"/>
    <mergeCell ref="J26:M26"/>
    <mergeCell ref="F28:H28"/>
    <mergeCell ref="F29:H29"/>
    <mergeCell ref="F30:H30"/>
    <mergeCell ref="F31:H31"/>
    <mergeCell ref="F32:H32"/>
    <mergeCell ref="O47:P47"/>
    <mergeCell ref="C36:F36"/>
    <mergeCell ref="J36:N36"/>
    <mergeCell ref="F38:H38"/>
    <mergeCell ref="F39:H39"/>
    <mergeCell ref="F40:H40"/>
    <mergeCell ref="J41:P41"/>
    <mergeCell ref="C43:F43"/>
    <mergeCell ref="J43:N43"/>
    <mergeCell ref="J45:N45"/>
    <mergeCell ref="C47:D47"/>
    <mergeCell ref="F47:G47"/>
    <mergeCell ref="J55:Q55"/>
    <mergeCell ref="O48:P48"/>
    <mergeCell ref="C50:H50"/>
    <mergeCell ref="J50:N50"/>
    <mergeCell ref="M52:O52"/>
    <mergeCell ref="E53:F53"/>
    <mergeCell ref="M53:O5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E7C3-DAD9-400E-9EFE-A85C43826E89}">
  <dimension ref="A1:O34"/>
  <sheetViews>
    <sheetView tabSelected="1" workbookViewId="0">
      <selection activeCell="T4" sqref="T4"/>
    </sheetView>
  </sheetViews>
  <sheetFormatPr defaultRowHeight="14.4" x14ac:dyDescent="0.3"/>
  <sheetData>
    <row r="1" spans="1:15" ht="26.4" thickBot="1" x14ac:dyDescent="0.35">
      <c r="A1" s="1"/>
      <c r="B1" s="1"/>
      <c r="C1" s="1"/>
      <c r="D1" s="1"/>
      <c r="E1" s="28" t="s">
        <v>58</v>
      </c>
      <c r="F1" s="29"/>
      <c r="G1" s="29"/>
      <c r="H1" s="29"/>
      <c r="I1" s="29"/>
      <c r="J1" s="29"/>
      <c r="K1" s="29"/>
      <c r="L1" s="29"/>
      <c r="M1" s="30"/>
      <c r="N1" s="1"/>
      <c r="O1" s="1"/>
    </row>
    <row r="2" spans="1:15" ht="15" thickBo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 thickBot="1" x14ac:dyDescent="0.35">
      <c r="A3" s="1"/>
      <c r="B3" s="1"/>
      <c r="C3" s="31" t="s">
        <v>0</v>
      </c>
      <c r="D3" s="32"/>
      <c r="E3" s="32"/>
      <c r="F3" s="32"/>
      <c r="G3" s="33"/>
      <c r="H3" s="1"/>
      <c r="I3" s="1"/>
      <c r="J3" s="23" t="s">
        <v>12</v>
      </c>
      <c r="K3" s="24"/>
      <c r="L3" s="25"/>
      <c r="M3" s="1"/>
      <c r="N3" s="1"/>
      <c r="O3" s="1"/>
    </row>
    <row r="4" spans="1:15" x14ac:dyDescent="0.3">
      <c r="A4" s="1"/>
      <c r="B4" s="1"/>
      <c r="C4" s="11" t="s">
        <v>1</v>
      </c>
      <c r="D4" s="1"/>
      <c r="E4" s="1">
        <v>118</v>
      </c>
      <c r="F4" s="1">
        <v>122</v>
      </c>
      <c r="G4" s="12" t="s">
        <v>2</v>
      </c>
      <c r="H4" s="1"/>
      <c r="I4" s="1"/>
      <c r="J4" s="1"/>
      <c r="K4" s="1"/>
      <c r="L4" s="1"/>
      <c r="M4" s="1"/>
      <c r="N4" s="1"/>
      <c r="O4" s="1"/>
    </row>
    <row r="5" spans="1:15" x14ac:dyDescent="0.3">
      <c r="A5" s="1"/>
      <c r="B5" s="1"/>
      <c r="C5" s="11" t="s">
        <v>3</v>
      </c>
      <c r="D5" s="1"/>
      <c r="E5" s="1">
        <v>11</v>
      </c>
      <c r="F5" s="1">
        <v>13</v>
      </c>
      <c r="G5" s="12" t="s">
        <v>2</v>
      </c>
      <c r="H5" s="1"/>
      <c r="I5" s="1"/>
      <c r="J5" s="1" t="s">
        <v>10</v>
      </c>
      <c r="K5" s="1" t="s">
        <v>11</v>
      </c>
      <c r="L5" s="1">
        <f>E6/(2*E7)</f>
        <v>5</v>
      </c>
      <c r="M5" s="5">
        <f>ROUNDUP(L5, 0)</f>
        <v>5</v>
      </c>
      <c r="N5" s="1"/>
      <c r="O5" s="1"/>
    </row>
    <row r="6" spans="1:15" x14ac:dyDescent="0.3">
      <c r="A6" s="1"/>
      <c r="B6" s="1"/>
      <c r="C6" s="11" t="s">
        <v>4</v>
      </c>
      <c r="D6" s="1"/>
      <c r="E6" s="1">
        <v>120</v>
      </c>
      <c r="F6" s="1"/>
      <c r="G6" s="12" t="s">
        <v>2</v>
      </c>
      <c r="H6" s="1"/>
      <c r="I6" s="1"/>
      <c r="J6" s="1"/>
      <c r="K6" s="1"/>
      <c r="L6" s="1"/>
      <c r="M6" s="1"/>
      <c r="N6" s="1"/>
      <c r="O6" s="1"/>
    </row>
    <row r="7" spans="1:15" x14ac:dyDescent="0.3">
      <c r="A7" s="1"/>
      <c r="B7" s="1"/>
      <c r="C7" s="11" t="s">
        <v>5</v>
      </c>
      <c r="D7" s="1"/>
      <c r="E7" s="1">
        <v>12</v>
      </c>
      <c r="F7" s="1"/>
      <c r="G7" s="12" t="s">
        <v>2</v>
      </c>
      <c r="H7" s="1"/>
      <c r="I7" s="1"/>
      <c r="J7" s="23" t="s">
        <v>13</v>
      </c>
      <c r="K7" s="24"/>
      <c r="L7" s="25"/>
      <c r="M7" s="1"/>
      <c r="N7" s="1"/>
      <c r="O7" s="1"/>
    </row>
    <row r="8" spans="1:15" x14ac:dyDescent="0.3">
      <c r="A8" s="1"/>
      <c r="B8" s="1"/>
      <c r="C8" s="11" t="s">
        <v>6</v>
      </c>
      <c r="D8" s="1"/>
      <c r="E8" s="1">
        <v>36</v>
      </c>
      <c r="F8" s="1"/>
      <c r="G8" s="12" t="s">
        <v>7</v>
      </c>
      <c r="H8" s="1"/>
      <c r="I8" s="1"/>
      <c r="J8" s="1"/>
      <c r="K8" s="1"/>
      <c r="L8" s="1"/>
      <c r="M8" s="1"/>
      <c r="N8" s="1"/>
      <c r="O8" s="1"/>
    </row>
    <row r="9" spans="1:15" ht="15" thickBot="1" x14ac:dyDescent="0.35">
      <c r="A9" s="1"/>
      <c r="B9" s="1"/>
      <c r="C9" s="13" t="s">
        <v>8</v>
      </c>
      <c r="D9" s="14"/>
      <c r="E9" s="19">
        <v>18.757000000000001</v>
      </c>
      <c r="F9" s="14"/>
      <c r="G9" s="15" t="s">
        <v>9</v>
      </c>
      <c r="H9" s="1"/>
      <c r="I9" s="1"/>
      <c r="J9" s="1" t="s">
        <v>14</v>
      </c>
      <c r="K9" s="1" t="s">
        <v>11</v>
      </c>
      <c r="L9" s="8">
        <f>M5*F5*2/E4</f>
        <v>1.1016949152542372</v>
      </c>
      <c r="M9" s="1"/>
      <c r="N9" s="1"/>
      <c r="O9" s="1"/>
    </row>
    <row r="10" spans="1:15" x14ac:dyDescent="0.3">
      <c r="A10" s="1"/>
      <c r="B10" s="1"/>
      <c r="C10" s="1"/>
      <c r="D10" s="1"/>
      <c r="E10" s="1"/>
      <c r="F10" s="1"/>
      <c r="G10" s="1"/>
      <c r="H10" s="1"/>
      <c r="I10" s="1"/>
      <c r="J10" s="1" t="s">
        <v>15</v>
      </c>
      <c r="K10" s="1" t="s">
        <v>11</v>
      </c>
      <c r="L10" s="8">
        <f>M5*2*E5/F4</f>
        <v>0.90163934426229508</v>
      </c>
      <c r="M10" s="1"/>
      <c r="N10" s="1"/>
      <c r="O10" s="1"/>
    </row>
    <row r="11" spans="1:1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1"/>
      <c r="B12" s="23" t="s">
        <v>16</v>
      </c>
      <c r="C12" s="24"/>
      <c r="D12" s="24"/>
      <c r="E12" s="25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3" t="s">
        <v>87</v>
      </c>
      <c r="M13" s="24"/>
      <c r="N13" s="24"/>
      <c r="O13" s="25"/>
    </row>
    <row r="14" spans="1:15" x14ac:dyDescent="0.3">
      <c r="A14" s="1"/>
      <c r="B14" s="21" t="s">
        <v>17</v>
      </c>
      <c r="C14" s="21"/>
      <c r="D14" s="21"/>
      <c r="E14" s="1" t="s">
        <v>18</v>
      </c>
      <c r="F14" s="1" t="s">
        <v>19</v>
      </c>
      <c r="G14" s="1" t="s">
        <v>11</v>
      </c>
      <c r="H14" s="5">
        <v>4.7249999999999996</v>
      </c>
      <c r="I14" s="1"/>
      <c r="J14" s="1"/>
      <c r="K14" s="1"/>
      <c r="L14" s="1"/>
      <c r="M14" s="1"/>
      <c r="N14" s="1"/>
      <c r="O14" s="1"/>
    </row>
    <row r="15" spans="1:15" x14ac:dyDescent="0.3">
      <c r="A15" s="1"/>
      <c r="B15" s="1"/>
      <c r="C15" s="1"/>
      <c r="D15" s="1"/>
      <c r="E15" s="1"/>
      <c r="F15" s="1" t="s">
        <v>20</v>
      </c>
      <c r="G15" s="1" t="s">
        <v>11</v>
      </c>
      <c r="H15" s="5">
        <v>1.163</v>
      </c>
      <c r="I15" s="1"/>
      <c r="J15" s="1"/>
      <c r="K15" s="1"/>
      <c r="L15" s="1" t="s">
        <v>86</v>
      </c>
      <c r="M15" s="1" t="s">
        <v>11</v>
      </c>
      <c r="N15" s="1">
        <v>4</v>
      </c>
      <c r="O15" s="1" t="s">
        <v>42</v>
      </c>
    </row>
    <row r="16" spans="1:1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 t="s">
        <v>31</v>
      </c>
      <c r="M16" s="1" t="s">
        <v>11</v>
      </c>
      <c r="N16" s="9">
        <f>(8*M5^2*N15)/(PI()^2)</f>
        <v>81.05694691387022</v>
      </c>
      <c r="O16" s="1" t="s">
        <v>42</v>
      </c>
    </row>
    <row r="17" spans="1:15" x14ac:dyDescent="0.3">
      <c r="A17" s="1"/>
      <c r="B17" s="1"/>
      <c r="C17" s="1" t="s">
        <v>21</v>
      </c>
      <c r="D17" s="1" t="s">
        <v>11</v>
      </c>
      <c r="E17" s="5">
        <f>SQRT(L10/(L10*(H14+1)-H14))</f>
        <v>1.4365896660730633</v>
      </c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1"/>
      <c r="B18" s="1"/>
      <c r="C18" s="1"/>
      <c r="D18" s="1"/>
      <c r="E18" s="5"/>
      <c r="F18" s="1"/>
      <c r="G18" s="1"/>
      <c r="H18" s="1"/>
      <c r="I18" s="1"/>
      <c r="J18" s="1"/>
      <c r="K18" s="1"/>
      <c r="L18" s="23" t="s">
        <v>32</v>
      </c>
      <c r="M18" s="24"/>
      <c r="N18" s="24"/>
      <c r="O18" s="25"/>
    </row>
    <row r="19" spans="1:15" x14ac:dyDescent="0.3">
      <c r="A19" s="1"/>
      <c r="B19" s="1"/>
      <c r="C19" s="1" t="s">
        <v>23</v>
      </c>
      <c r="D19" s="1" t="s">
        <v>11</v>
      </c>
      <c r="E19" s="1">
        <v>1.4850000000000001</v>
      </c>
      <c r="F19" s="1" t="s">
        <v>22</v>
      </c>
      <c r="G19" s="21" t="s">
        <v>24</v>
      </c>
      <c r="H19" s="21"/>
      <c r="I19" s="1"/>
      <c r="J19" s="1"/>
      <c r="K19" s="1"/>
      <c r="L19" s="1"/>
      <c r="M19" s="1"/>
      <c r="N19" s="1"/>
      <c r="O19" s="1"/>
    </row>
    <row r="20" spans="1:15" x14ac:dyDescent="0.3">
      <c r="A20" s="1"/>
      <c r="B20" s="1" t="s">
        <v>25</v>
      </c>
      <c r="C20" s="1" t="s">
        <v>14</v>
      </c>
      <c r="D20" s="1" t="s">
        <v>11</v>
      </c>
      <c r="E20" s="6">
        <f>L9</f>
        <v>1.1016949152542372</v>
      </c>
      <c r="F20" s="1"/>
      <c r="G20" s="1"/>
      <c r="H20" s="1"/>
      <c r="I20" s="1"/>
      <c r="J20" s="1"/>
      <c r="K20" s="1"/>
      <c r="L20" s="1" t="s">
        <v>33</v>
      </c>
      <c r="M20" s="1" t="s">
        <v>11</v>
      </c>
      <c r="N20" s="9">
        <f>10^9/(2*PI()*E9*1000*N16*H15)</f>
        <v>90.009178275644757</v>
      </c>
      <c r="O20" s="1" t="s">
        <v>34</v>
      </c>
    </row>
    <row r="21" spans="1:15" x14ac:dyDescent="0.3">
      <c r="A21" s="1"/>
      <c r="B21" s="1" t="s">
        <v>26</v>
      </c>
      <c r="C21" s="1" t="s">
        <v>27</v>
      </c>
      <c r="D21" s="1" t="s">
        <v>11</v>
      </c>
      <c r="E21" s="5">
        <v>0.5554</v>
      </c>
      <c r="F21" s="21" t="s">
        <v>28</v>
      </c>
      <c r="G21" s="21"/>
      <c r="H21" s="21"/>
      <c r="I21" s="21"/>
      <c r="J21" s="21"/>
      <c r="K21" s="21"/>
      <c r="L21" s="1" t="s">
        <v>35</v>
      </c>
      <c r="M21" s="1" t="s">
        <v>11</v>
      </c>
      <c r="N21" s="9">
        <f>10^6/((2*PI()*E9*1000)^2*N20*10^-9)</f>
        <v>799.88344715702965</v>
      </c>
      <c r="O21" s="1" t="s">
        <v>36</v>
      </c>
    </row>
    <row r="22" spans="1:15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 t="s">
        <v>37</v>
      </c>
      <c r="M22" s="1" t="s">
        <v>11</v>
      </c>
      <c r="N22" s="9">
        <f>H14*N21</f>
        <v>3779.4492878169649</v>
      </c>
      <c r="O22" s="1" t="s">
        <v>36</v>
      </c>
    </row>
    <row r="23" spans="1:15" x14ac:dyDescent="0.3">
      <c r="A23" s="1"/>
      <c r="B23" s="1" t="s">
        <v>26</v>
      </c>
      <c r="C23" s="1" t="s">
        <v>30</v>
      </c>
      <c r="D23" s="1" t="s">
        <v>11</v>
      </c>
      <c r="E23" s="5">
        <f>E17*E9</f>
        <v>26.94611236653245</v>
      </c>
      <c r="F23" s="1" t="s">
        <v>9</v>
      </c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3">
      <c r="A24" s="1"/>
      <c r="B24" s="1"/>
      <c r="C24" s="1" t="s">
        <v>29</v>
      </c>
      <c r="D24" s="1" t="s">
        <v>11</v>
      </c>
      <c r="E24" s="5">
        <f>E21*E9</f>
        <v>10.417637800000001</v>
      </c>
      <c r="F24" s="1" t="s">
        <v>9</v>
      </c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">
      <c r="A26" s="1"/>
      <c r="B26" s="23" t="s">
        <v>38</v>
      </c>
      <c r="C26" s="24"/>
      <c r="D26" s="24"/>
      <c r="E26" s="24"/>
      <c r="F26" s="24"/>
      <c r="G26" s="25"/>
      <c r="H26" s="1"/>
      <c r="I26" s="1"/>
      <c r="J26" s="23" t="s">
        <v>53</v>
      </c>
      <c r="K26" s="24"/>
      <c r="L26" s="24"/>
      <c r="M26" s="25"/>
      <c r="N26" s="1"/>
      <c r="O26" s="1"/>
    </row>
    <row r="27" spans="1:1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3">
      <c r="A28" s="1"/>
      <c r="B28" s="1" t="s">
        <v>40</v>
      </c>
      <c r="C28" s="1" t="s">
        <v>11</v>
      </c>
      <c r="D28" s="5">
        <f>E8/E7</f>
        <v>3</v>
      </c>
      <c r="E28" s="1" t="s">
        <v>41</v>
      </c>
      <c r="F28" s="21" t="s">
        <v>51</v>
      </c>
      <c r="G28" s="21"/>
      <c r="H28" s="21"/>
      <c r="I28" s="1"/>
      <c r="J28" s="1" t="s">
        <v>35</v>
      </c>
      <c r="K28" s="1" t="s">
        <v>11</v>
      </c>
      <c r="L28" s="7">
        <f>N21</f>
        <v>799.88344715702965</v>
      </c>
      <c r="M28" s="1" t="s">
        <v>36</v>
      </c>
      <c r="N28" s="1"/>
      <c r="O28" s="1"/>
    </row>
    <row r="29" spans="1:15" x14ac:dyDescent="0.3">
      <c r="A29" s="1"/>
      <c r="B29" s="1" t="s">
        <v>39</v>
      </c>
      <c r="C29" s="1" t="s">
        <v>11</v>
      </c>
      <c r="D29" s="7">
        <f>(PI()*D28)/(2*SQRT(2)*M5)</f>
        <v>0.66643244072375485</v>
      </c>
      <c r="E29" s="1" t="s">
        <v>41</v>
      </c>
      <c r="F29" s="21" t="s">
        <v>52</v>
      </c>
      <c r="G29" s="21"/>
      <c r="H29" s="21"/>
      <c r="I29" s="1"/>
      <c r="J29" s="1" t="s">
        <v>57</v>
      </c>
      <c r="K29" s="1" t="s">
        <v>11</v>
      </c>
      <c r="L29" s="9">
        <f>D31</f>
        <v>0.70129332700564362</v>
      </c>
      <c r="M29" s="1" t="s">
        <v>41</v>
      </c>
      <c r="N29" s="1"/>
      <c r="O29" s="1"/>
    </row>
    <row r="30" spans="1:15" x14ac:dyDescent="0.3">
      <c r="A30" s="1"/>
      <c r="B30" s="1" t="s">
        <v>43</v>
      </c>
      <c r="C30" s="1" t="s">
        <v>11</v>
      </c>
      <c r="D30" s="9">
        <f>(2*SQRT(2)*M5*E7)/(2*PI()*E24*1000*N22*10^-6*PI())</f>
        <v>0.21835780831841936</v>
      </c>
      <c r="E30" s="1" t="s">
        <v>41</v>
      </c>
      <c r="F30" s="21" t="s">
        <v>45</v>
      </c>
      <c r="G30" s="21"/>
      <c r="H30" s="21"/>
      <c r="I30" s="1"/>
      <c r="J30" s="1" t="s">
        <v>54</v>
      </c>
      <c r="K30" s="1" t="s">
        <v>11</v>
      </c>
      <c r="L30" s="7">
        <f>2*PI()*E24*1000*L28*10^-6*L29</f>
        <v>36.717705842104266</v>
      </c>
      <c r="M30" s="1" t="s">
        <v>2</v>
      </c>
      <c r="N30" s="1" t="s">
        <v>55</v>
      </c>
      <c r="O30" s="1"/>
    </row>
    <row r="31" spans="1:15" x14ac:dyDescent="0.3">
      <c r="A31" s="1"/>
      <c r="B31" s="1" t="s">
        <v>44</v>
      </c>
      <c r="C31" s="1" t="s">
        <v>11</v>
      </c>
      <c r="D31" s="9">
        <f>SQRT(D30^2+D29^2)</f>
        <v>0.70129332700564362</v>
      </c>
      <c r="E31" s="1" t="s">
        <v>41</v>
      </c>
      <c r="F31" s="21" t="s">
        <v>46</v>
      </c>
      <c r="G31" s="21"/>
      <c r="H31" s="21"/>
      <c r="I31" s="1"/>
      <c r="J31" s="1" t="s">
        <v>54</v>
      </c>
      <c r="K31" s="1" t="s">
        <v>11</v>
      </c>
      <c r="L31" s="7">
        <f>2*PI()*E23*1000*L28*10^-6*D30</f>
        <v>29.571368348583718</v>
      </c>
      <c r="M31" s="1" t="s">
        <v>2</v>
      </c>
      <c r="N31" s="1" t="s">
        <v>56</v>
      </c>
      <c r="O31" s="1"/>
    </row>
    <row r="32" spans="1:15" x14ac:dyDescent="0.3">
      <c r="A32" s="1"/>
      <c r="B32" s="1" t="s">
        <v>48</v>
      </c>
      <c r="C32" s="1" t="s">
        <v>11</v>
      </c>
      <c r="D32" s="7">
        <f>M5*D29</f>
        <v>3.3321622036187741</v>
      </c>
      <c r="E32" s="1" t="s">
        <v>41</v>
      </c>
      <c r="F32" s="21" t="s">
        <v>47</v>
      </c>
      <c r="G32" s="21"/>
      <c r="H32" s="21"/>
      <c r="I32" s="1"/>
      <c r="J32" s="1"/>
      <c r="K32" s="1"/>
      <c r="L32" s="1"/>
      <c r="M32" s="1"/>
      <c r="N32" s="1"/>
      <c r="O32" s="1"/>
    </row>
    <row r="33" spans="1:15" x14ac:dyDescent="0.3">
      <c r="A33" s="1"/>
      <c r="B33" s="1" t="s">
        <v>50</v>
      </c>
      <c r="C33" s="1" t="s">
        <v>11</v>
      </c>
      <c r="D33" s="7">
        <f>SQRT(2)*D32/2</f>
        <v>2.3561944901923448</v>
      </c>
      <c r="E33" s="1" t="s">
        <v>41</v>
      </c>
      <c r="F33" s="21" t="s">
        <v>49</v>
      </c>
      <c r="G33" s="21"/>
      <c r="H33" s="21"/>
      <c r="I33" s="1"/>
      <c r="J33" s="1"/>
      <c r="K33" s="1"/>
      <c r="L33" s="1"/>
      <c r="M33" s="1"/>
      <c r="N33" s="1"/>
      <c r="O33" s="1"/>
    </row>
    <row r="34" spans="1:1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</sheetData>
  <mergeCells count="18">
    <mergeCell ref="L13:O13"/>
    <mergeCell ref="E1:M1"/>
    <mergeCell ref="C3:G3"/>
    <mergeCell ref="J3:L3"/>
    <mergeCell ref="J7:L7"/>
    <mergeCell ref="B12:E12"/>
    <mergeCell ref="F33:H33"/>
    <mergeCell ref="B14:D14"/>
    <mergeCell ref="L18:O18"/>
    <mergeCell ref="G19:H19"/>
    <mergeCell ref="F21:K21"/>
    <mergeCell ref="B26:G26"/>
    <mergeCell ref="J26:M26"/>
    <mergeCell ref="F28:H28"/>
    <mergeCell ref="F29:H29"/>
    <mergeCell ref="F30:H30"/>
    <mergeCell ref="F31:H31"/>
    <mergeCell ref="F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400V-48V</vt:lpstr>
      <vt:lpstr>60V-6V</vt:lpstr>
      <vt:lpstr>30V-3V</vt:lpstr>
      <vt:lpstr>120V-12V</vt:lpstr>
      <vt:lpstr>Final_60V-6V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Aditya Kumar</cp:lastModifiedBy>
  <dcterms:created xsi:type="dcterms:W3CDTF">2015-06-05T18:17:20Z</dcterms:created>
  <dcterms:modified xsi:type="dcterms:W3CDTF">2026-01-14T13:54:49Z</dcterms:modified>
</cp:coreProperties>
</file>