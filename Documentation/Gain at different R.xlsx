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itbacin-my.sharepoint.com/personal/24m1355_iitb_ac_in/Documents/1.M.Tech 3rd Sem/MTP_Design and Development of LLC Resonant Converter for EV Charging/MTP_MyMaterial/"/>
    </mc:Choice>
  </mc:AlternateContent>
  <xr:revisionPtr revIDLastSave="23" documentId="13_ncr:1_{EC265D75-E481-4E8F-B196-BDF29BA09C13}" xr6:coauthVersionLast="47" xr6:coauthVersionMax="47" xr10:uidLastSave="{2D75C564-5975-4148-8859-3D392A2F92D0}"/>
  <bookViews>
    <workbookView xWindow="-108" yWindow="-108" windowWidth="23256" windowHeight="13896" activeTab="4" xr2:uid="{00000000-000D-0000-FFFF-FFFF00000000}"/>
  </bookViews>
  <sheets>
    <sheet name="GainAtDiff_R" sheetId="1" r:id="rId1"/>
    <sheet name="SRC_AnaVs.Sim" sheetId="2" r:id="rId2"/>
    <sheet name="PRC_AnaVs.Sim" sheetId="3" r:id="rId3"/>
    <sheet name="LLC_AnaVs.Sim" sheetId="4" r:id="rId4"/>
    <sheet name="Sheet1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5" l="1"/>
  <c r="R27" i="5"/>
  <c r="H27" i="5"/>
  <c r="R26" i="5"/>
  <c r="H25" i="5"/>
  <c r="R24" i="5"/>
  <c r="H24" i="5"/>
  <c r="H20" i="5"/>
  <c r="R19" i="5"/>
  <c r="H19" i="5"/>
  <c r="R17" i="5"/>
  <c r="H17" i="5"/>
  <c r="R16" i="5"/>
  <c r="B15" i="5"/>
  <c r="H14" i="5"/>
  <c r="L13" i="5"/>
  <c r="S11" i="5" s="1"/>
  <c r="H13" i="5"/>
  <c r="B13" i="5"/>
  <c r="I29" i="5" s="1"/>
  <c r="S12" i="5"/>
  <c r="R12" i="5"/>
  <c r="O12" i="5"/>
  <c r="Q12" i="5" s="1"/>
  <c r="H12" i="5"/>
  <c r="L11" i="5"/>
  <c r="B11" i="5"/>
  <c r="R10" i="5"/>
  <c r="B9" i="5"/>
  <c r="H7" i="5" s="1"/>
  <c r="R8" i="5"/>
  <c r="H8" i="5"/>
  <c r="R7" i="5"/>
  <c r="B6" i="5"/>
  <c r="B4" i="4"/>
  <c r="R7" i="4"/>
  <c r="O7" i="4"/>
  <c r="Q39" i="3"/>
  <c r="Q38" i="3"/>
  <c r="Q37" i="3"/>
  <c r="Q36" i="3"/>
  <c r="Q35" i="3"/>
  <c r="Q34" i="3"/>
  <c r="Q33" i="3"/>
  <c r="Q32" i="3"/>
  <c r="Q31" i="3"/>
  <c r="Q30" i="3"/>
  <c r="O32" i="3"/>
  <c r="O33" i="3"/>
  <c r="O34" i="3"/>
  <c r="O35" i="3"/>
  <c r="O36" i="3"/>
  <c r="O37" i="3"/>
  <c r="O38" i="3"/>
  <c r="O39" i="3"/>
  <c r="O31" i="3"/>
  <c r="O30" i="3"/>
  <c r="Q7" i="3"/>
  <c r="H13" i="1"/>
  <c r="Q30" i="2"/>
  <c r="O30" i="2"/>
  <c r="G30" i="2"/>
  <c r="E30" i="2"/>
  <c r="H30" i="2"/>
  <c r="E7" i="4"/>
  <c r="R29" i="4"/>
  <c r="I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H7" i="4"/>
  <c r="B15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B9" i="4"/>
  <c r="B13" i="4"/>
  <c r="L11" i="4"/>
  <c r="L13" i="4" s="1"/>
  <c r="B11" i="4"/>
  <c r="B6" i="4"/>
  <c r="O23" i="3"/>
  <c r="O24" i="3"/>
  <c r="O25" i="3"/>
  <c r="O26" i="3"/>
  <c r="I7" i="5" l="1"/>
  <c r="S19" i="5"/>
  <c r="O19" i="5" s="1"/>
  <c r="Q19" i="5" s="1"/>
  <c r="S14" i="5"/>
  <c r="S8" i="5"/>
  <c r="O8" i="5" s="1"/>
  <c r="Q8" i="5" s="1"/>
  <c r="I17" i="5"/>
  <c r="E17" i="5" s="1"/>
  <c r="G17" i="5" s="1"/>
  <c r="S10" i="5"/>
  <c r="O10" i="5" s="1"/>
  <c r="Q10" i="5" s="1"/>
  <c r="S21" i="5"/>
  <c r="S22" i="5"/>
  <c r="I8" i="5"/>
  <c r="E8" i="5" s="1"/>
  <c r="G8" i="5" s="1"/>
  <c r="S16" i="5"/>
  <c r="S9" i="5"/>
  <c r="S26" i="5"/>
  <c r="O26" i="5" s="1"/>
  <c r="Q26" i="5" s="1"/>
  <c r="E12" i="5"/>
  <c r="G12" i="5" s="1"/>
  <c r="I19" i="5"/>
  <c r="E19" i="5" s="1"/>
  <c r="G19" i="5" s="1"/>
  <c r="S27" i="5"/>
  <c r="O27" i="5" s="1"/>
  <c r="Q27" i="5" s="1"/>
  <c r="S7" i="5"/>
  <c r="O7" i="5" s="1"/>
  <c r="Q7" i="5" s="1"/>
  <c r="I24" i="5"/>
  <c r="E24" i="5" s="1"/>
  <c r="G24" i="5" s="1"/>
  <c r="O16" i="5"/>
  <c r="Q16" i="5" s="1"/>
  <c r="S24" i="5"/>
  <c r="O24" i="5" s="1"/>
  <c r="Q24" i="5" s="1"/>
  <c r="I10" i="5"/>
  <c r="S17" i="5"/>
  <c r="O17" i="5" s="1"/>
  <c r="Q17" i="5" s="1"/>
  <c r="I12" i="5"/>
  <c r="H15" i="5"/>
  <c r="R9" i="5"/>
  <c r="R14" i="5"/>
  <c r="O14" i="5" s="1"/>
  <c r="Q14" i="5" s="1"/>
  <c r="R21" i="5"/>
  <c r="H29" i="5"/>
  <c r="E29" i="5" s="1"/>
  <c r="G29" i="5" s="1"/>
  <c r="H10" i="5"/>
  <c r="E10" i="5" s="1"/>
  <c r="G10" i="5" s="1"/>
  <c r="H22" i="5"/>
  <c r="R22" i="5"/>
  <c r="O22" i="5" s="1"/>
  <c r="Q22" i="5" s="1"/>
  <c r="R29" i="5"/>
  <c r="O29" i="5" s="1"/>
  <c r="Q29" i="5" s="1"/>
  <c r="E7" i="5"/>
  <c r="G7" i="5" s="1"/>
  <c r="I26" i="5"/>
  <c r="I21" i="5"/>
  <c r="I16" i="5"/>
  <c r="I9" i="5"/>
  <c r="I28" i="5"/>
  <c r="I23" i="5"/>
  <c r="I18" i="5"/>
  <c r="I11" i="5"/>
  <c r="I13" i="5"/>
  <c r="E13" i="5" s="1"/>
  <c r="G13" i="5" s="1"/>
  <c r="I25" i="5"/>
  <c r="E25" i="5" s="1"/>
  <c r="G25" i="5" s="1"/>
  <c r="I20" i="5"/>
  <c r="E20" i="5" s="1"/>
  <c r="G20" i="5" s="1"/>
  <c r="I15" i="5"/>
  <c r="I22" i="5"/>
  <c r="I27" i="5"/>
  <c r="E27" i="5" s="1"/>
  <c r="G27" i="5" s="1"/>
  <c r="I14" i="5"/>
  <c r="E14" i="5" s="1"/>
  <c r="G14" i="5" s="1"/>
  <c r="H11" i="5"/>
  <c r="E11" i="5" s="1"/>
  <c r="G11" i="5" s="1"/>
  <c r="R15" i="5"/>
  <c r="H18" i="5"/>
  <c r="R20" i="5"/>
  <c r="H23" i="5"/>
  <c r="R25" i="5"/>
  <c r="H28" i="5"/>
  <c r="S15" i="5"/>
  <c r="S20" i="5"/>
  <c r="S25" i="5"/>
  <c r="H9" i="5"/>
  <c r="R13" i="5"/>
  <c r="S13" i="5"/>
  <c r="H16" i="5"/>
  <c r="R18" i="5"/>
  <c r="H21" i="5"/>
  <c r="R23" i="5"/>
  <c r="H26" i="5"/>
  <c r="R28" i="5"/>
  <c r="R11" i="5"/>
  <c r="O11" i="5" s="1"/>
  <c r="Q11" i="5" s="1"/>
  <c r="S18" i="5"/>
  <c r="S23" i="5"/>
  <c r="S28" i="5"/>
  <c r="S22" i="4"/>
  <c r="O22" i="4" s="1"/>
  <c r="Q22" i="4" s="1"/>
  <c r="S8" i="4"/>
  <c r="O8" i="4" s="1"/>
  <c r="S20" i="4"/>
  <c r="O20" i="4" s="1"/>
  <c r="Q20" i="4" s="1"/>
  <c r="S23" i="4"/>
  <c r="O23" i="4" s="1"/>
  <c r="Q23" i="4" s="1"/>
  <c r="S28" i="4"/>
  <c r="O28" i="4" s="1"/>
  <c r="Q28" i="4" s="1"/>
  <c r="S24" i="4"/>
  <c r="O24" i="4" s="1"/>
  <c r="Q24" i="4" s="1"/>
  <c r="S29" i="4"/>
  <c r="O29" i="4" s="1"/>
  <c r="Q29" i="4" s="1"/>
  <c r="S25" i="4"/>
  <c r="O25" i="4" s="1"/>
  <c r="Q25" i="4" s="1"/>
  <c r="S9" i="4"/>
  <c r="O9" i="4" s="1"/>
  <c r="Q9" i="4" s="1"/>
  <c r="S17" i="4"/>
  <c r="O17" i="4" s="1"/>
  <c r="Q17" i="4" s="1"/>
  <c r="S19" i="4"/>
  <c r="O19" i="4" s="1"/>
  <c r="Q19" i="4" s="1"/>
  <c r="S26" i="4"/>
  <c r="O26" i="4" s="1"/>
  <c r="Q26" i="4" s="1"/>
  <c r="S27" i="4"/>
  <c r="O27" i="4" s="1"/>
  <c r="Q27" i="4" s="1"/>
  <c r="S10" i="4"/>
  <c r="O10" i="4" s="1"/>
  <c r="Q10" i="4" s="1"/>
  <c r="S7" i="4"/>
  <c r="Q7" i="4" s="1"/>
  <c r="S11" i="4"/>
  <c r="O11" i="4" s="1"/>
  <c r="Q11" i="4" s="1"/>
  <c r="S12" i="4"/>
  <c r="O12" i="4" s="1"/>
  <c r="Q12" i="4" s="1"/>
  <c r="S18" i="4"/>
  <c r="O18" i="4" s="1"/>
  <c r="Q18" i="4" s="1"/>
  <c r="S21" i="4"/>
  <c r="O21" i="4" s="1"/>
  <c r="Q21" i="4" s="1"/>
  <c r="S13" i="4"/>
  <c r="O13" i="4" s="1"/>
  <c r="Q13" i="4" s="1"/>
  <c r="S14" i="4"/>
  <c r="O14" i="4" s="1"/>
  <c r="Q14" i="4" s="1"/>
  <c r="S15" i="4"/>
  <c r="O15" i="4" s="1"/>
  <c r="S16" i="4"/>
  <c r="O16" i="4" s="1"/>
  <c r="Q16" i="4" s="1"/>
  <c r="G7" i="4"/>
  <c r="G9" i="4"/>
  <c r="G28" i="4"/>
  <c r="G24" i="4"/>
  <c r="G20" i="4"/>
  <c r="G16" i="4"/>
  <c r="G12" i="4"/>
  <c r="G8" i="4"/>
  <c r="G27" i="4"/>
  <c r="G23" i="4"/>
  <c r="G19" i="4"/>
  <c r="G15" i="4"/>
  <c r="G11" i="4"/>
  <c r="G26" i="4"/>
  <c r="G22" i="4"/>
  <c r="G18" i="4"/>
  <c r="G14" i="4"/>
  <c r="G10" i="4"/>
  <c r="G29" i="4"/>
  <c r="G25" i="4"/>
  <c r="G21" i="4"/>
  <c r="G17" i="4"/>
  <c r="G13" i="4"/>
  <c r="Q15" i="4"/>
  <c r="Q8" i="4"/>
  <c r="E11" i="3"/>
  <c r="E7" i="3"/>
  <c r="O26" i="2"/>
  <c r="L11" i="2"/>
  <c r="G7" i="2"/>
  <c r="E7" i="2"/>
  <c r="B13" i="2"/>
  <c r="N6" i="1"/>
  <c r="M6" i="1"/>
  <c r="H6" i="1"/>
  <c r="G6" i="1"/>
  <c r="B7" i="1"/>
  <c r="B11" i="2"/>
  <c r="B6" i="2"/>
  <c r="F6" i="1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L11" i="3"/>
  <c r="H11" i="3"/>
  <c r="B11" i="3"/>
  <c r="B13" i="3" s="1"/>
  <c r="H10" i="3"/>
  <c r="H9" i="3"/>
  <c r="H8" i="3"/>
  <c r="H7" i="3"/>
  <c r="B6" i="3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L13" i="2"/>
  <c r="H11" i="2"/>
  <c r="H10" i="2"/>
  <c r="H9" i="2"/>
  <c r="H8" i="2"/>
  <c r="H7" i="2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F13" i="1"/>
  <c r="G13" i="1" s="1"/>
  <c r="M12" i="1"/>
  <c r="N12" i="1" s="1"/>
  <c r="F12" i="1"/>
  <c r="G12" i="1" s="1"/>
  <c r="H12" i="1" s="1"/>
  <c r="M11" i="1"/>
  <c r="N11" i="1" s="1"/>
  <c r="F11" i="1"/>
  <c r="G11" i="1" s="1"/>
  <c r="H11" i="1" s="1"/>
  <c r="M10" i="1"/>
  <c r="N10" i="1" s="1"/>
  <c r="F10" i="1"/>
  <c r="G10" i="1" s="1"/>
  <c r="H10" i="1" s="1"/>
  <c r="M9" i="1"/>
  <c r="N9" i="1" s="1"/>
  <c r="F9" i="1"/>
  <c r="G9" i="1" s="1"/>
  <c r="H9" i="1" s="1"/>
  <c r="M8" i="1"/>
  <c r="N8" i="1" s="1"/>
  <c r="F8" i="1"/>
  <c r="G8" i="1" s="1"/>
  <c r="H8" i="1" s="1"/>
  <c r="M7" i="1"/>
  <c r="N7" i="1" s="1"/>
  <c r="F7" i="1"/>
  <c r="G7" i="1" s="1"/>
  <c r="H7" i="1" s="1"/>
  <c r="E18" i="5" l="1"/>
  <c r="G18" i="5" s="1"/>
  <c r="O21" i="5"/>
  <c r="Q21" i="5" s="1"/>
  <c r="O9" i="5"/>
  <c r="Q9" i="5" s="1"/>
  <c r="E22" i="5"/>
  <c r="G22" i="5" s="1"/>
  <c r="E15" i="5"/>
  <c r="G15" i="5" s="1"/>
  <c r="E28" i="5"/>
  <c r="G28" i="5" s="1"/>
  <c r="O25" i="5"/>
  <c r="Q25" i="5" s="1"/>
  <c r="E23" i="5"/>
  <c r="G23" i="5" s="1"/>
  <c r="O20" i="5"/>
  <c r="Q20" i="5" s="1"/>
  <c r="O15" i="5"/>
  <c r="Q15" i="5" s="1"/>
  <c r="O28" i="5"/>
  <c r="Q28" i="5" s="1"/>
  <c r="E26" i="5"/>
  <c r="G26" i="5" s="1"/>
  <c r="O23" i="5"/>
  <c r="Q23" i="5" s="1"/>
  <c r="E21" i="5"/>
  <c r="G21" i="5" s="1"/>
  <c r="O18" i="5"/>
  <c r="Q18" i="5" s="1"/>
  <c r="E16" i="5"/>
  <c r="G16" i="5" s="1"/>
  <c r="O13" i="5"/>
  <c r="Q13" i="5" s="1"/>
  <c r="E9" i="5"/>
  <c r="G9" i="5" s="1"/>
  <c r="L13" i="3"/>
  <c r="O15" i="3" s="1"/>
  <c r="Q15" i="3" s="1"/>
  <c r="O9" i="2"/>
  <c r="Q9" i="2" s="1"/>
  <c r="O28" i="2"/>
  <c r="Q28" i="2" s="1"/>
  <c r="O18" i="2"/>
  <c r="Q18" i="2" s="1"/>
  <c r="O8" i="2"/>
  <c r="Q8" i="2" s="1"/>
  <c r="O27" i="2"/>
  <c r="Q27" i="2" s="1"/>
  <c r="O17" i="2"/>
  <c r="Q17" i="2" s="1"/>
  <c r="O7" i="2"/>
  <c r="Q7" i="2" s="1"/>
  <c r="Q26" i="2"/>
  <c r="O16" i="2"/>
  <c r="Q16" i="2" s="1"/>
  <c r="O25" i="2"/>
  <c r="Q25" i="2" s="1"/>
  <c r="O15" i="2"/>
  <c r="Q15" i="2" s="1"/>
  <c r="O24" i="2"/>
  <c r="Q24" i="2" s="1"/>
  <c r="O14" i="2"/>
  <c r="Q14" i="2" s="1"/>
  <c r="O23" i="2"/>
  <c r="Q23" i="2" s="1"/>
  <c r="O13" i="2"/>
  <c r="Q13" i="2" s="1"/>
  <c r="O11" i="2"/>
  <c r="Q11" i="2" s="1"/>
  <c r="O20" i="2"/>
  <c r="Q20" i="2" s="1"/>
  <c r="O10" i="2"/>
  <c r="Q10" i="2" s="1"/>
  <c r="O29" i="2"/>
  <c r="Q29" i="2" s="1"/>
  <c r="O19" i="2"/>
  <c r="Q19" i="2" s="1"/>
  <c r="O22" i="2"/>
  <c r="Q22" i="2" s="1"/>
  <c r="O12" i="2"/>
  <c r="Q12" i="2" s="1"/>
  <c r="O21" i="2"/>
  <c r="Q21" i="2" s="1"/>
  <c r="E12" i="2"/>
  <c r="G12" i="2" s="1"/>
  <c r="E19" i="2"/>
  <c r="G19" i="2" s="1"/>
  <c r="E8" i="2"/>
  <c r="G8" i="2" s="1"/>
  <c r="E14" i="2"/>
  <c r="G14" i="2" s="1"/>
  <c r="E21" i="2"/>
  <c r="G21" i="2" s="1"/>
  <c r="E28" i="2"/>
  <c r="G28" i="2" s="1"/>
  <c r="E20" i="2"/>
  <c r="G20" i="2" s="1"/>
  <c r="E27" i="2"/>
  <c r="G27" i="2" s="1"/>
  <c r="E26" i="2"/>
  <c r="G26" i="2" s="1"/>
  <c r="E13" i="2"/>
  <c r="G13" i="2" s="1"/>
  <c r="E15" i="2"/>
  <c r="G15" i="2" s="1"/>
  <c r="E9" i="2"/>
  <c r="G9" i="2" s="1"/>
  <c r="E22" i="2"/>
  <c r="G22" i="2" s="1"/>
  <c r="E29" i="2"/>
  <c r="G29" i="2" s="1"/>
  <c r="E16" i="2"/>
  <c r="G16" i="2" s="1"/>
  <c r="E10" i="2"/>
  <c r="G10" i="2" s="1"/>
  <c r="E23" i="2"/>
  <c r="G23" i="2" s="1"/>
  <c r="E17" i="2"/>
  <c r="G17" i="2" s="1"/>
  <c r="E11" i="2"/>
  <c r="G11" i="2" s="1"/>
  <c r="E24" i="2"/>
  <c r="G24" i="2" s="1"/>
  <c r="E18" i="2"/>
  <c r="G18" i="2" s="1"/>
  <c r="E25" i="2"/>
  <c r="G25" i="2" s="1"/>
  <c r="E10" i="3"/>
  <c r="G10" i="3" s="1"/>
  <c r="E29" i="3"/>
  <c r="G29" i="3" s="1"/>
  <c r="E25" i="3"/>
  <c r="G25" i="3" s="1"/>
  <c r="E21" i="3"/>
  <c r="G21" i="3" s="1"/>
  <c r="E17" i="3"/>
  <c r="G17" i="3" s="1"/>
  <c r="E13" i="3"/>
  <c r="G13" i="3" s="1"/>
  <c r="E9" i="3"/>
  <c r="G9" i="3" s="1"/>
  <c r="E27" i="3"/>
  <c r="G27" i="3" s="1"/>
  <c r="E19" i="3"/>
  <c r="G19" i="3" s="1"/>
  <c r="G7" i="3"/>
  <c r="E26" i="3"/>
  <c r="G26" i="3" s="1"/>
  <c r="E18" i="3"/>
  <c r="G18" i="3" s="1"/>
  <c r="E28" i="3"/>
  <c r="G28" i="3" s="1"/>
  <c r="E24" i="3"/>
  <c r="G24" i="3" s="1"/>
  <c r="E20" i="3"/>
  <c r="G20" i="3" s="1"/>
  <c r="E16" i="3"/>
  <c r="G16" i="3" s="1"/>
  <c r="E12" i="3"/>
  <c r="G12" i="3" s="1"/>
  <c r="E8" i="3"/>
  <c r="G8" i="3" s="1"/>
  <c r="E23" i="3"/>
  <c r="G23" i="3" s="1"/>
  <c r="E15" i="3"/>
  <c r="G15" i="3" s="1"/>
  <c r="G11" i="3"/>
  <c r="E22" i="3"/>
  <c r="G22" i="3" s="1"/>
  <c r="E14" i="3"/>
  <c r="G14" i="3" s="1"/>
  <c r="O18" i="3" l="1"/>
  <c r="Q18" i="3" s="1"/>
  <c r="O29" i="3"/>
  <c r="Q29" i="3" s="1"/>
  <c r="O10" i="3"/>
  <c r="Q10" i="3" s="1"/>
  <c r="O19" i="3"/>
  <c r="Q19" i="3" s="1"/>
  <c r="O22" i="3"/>
  <c r="Q22" i="3" s="1"/>
  <c r="Q23" i="3"/>
  <c r="O27" i="3"/>
  <c r="Q27" i="3" s="1"/>
  <c r="O8" i="3"/>
  <c r="Q8" i="3" s="1"/>
  <c r="O12" i="3"/>
  <c r="Q12" i="3" s="1"/>
  <c r="O16" i="3"/>
  <c r="Q16" i="3" s="1"/>
  <c r="O20" i="3"/>
  <c r="Q20" i="3" s="1"/>
  <c r="Q24" i="3"/>
  <c r="O28" i="3"/>
  <c r="Q28" i="3" s="1"/>
  <c r="O9" i="3"/>
  <c r="Q9" i="3" s="1"/>
  <c r="O13" i="3"/>
  <c r="Q13" i="3" s="1"/>
  <c r="O17" i="3"/>
  <c r="Q17" i="3" s="1"/>
  <c r="O21" i="3"/>
  <c r="Q21" i="3" s="1"/>
  <c r="O14" i="3"/>
  <c r="Q14" i="3" s="1"/>
  <c r="Q25" i="3"/>
  <c r="Q26" i="3"/>
  <c r="O7" i="3"/>
  <c r="O11" i="3"/>
  <c r="Q11" i="3" s="1"/>
</calcChain>
</file>

<file path=xl/sharedStrings.xml><?xml version="1.0" encoding="utf-8"?>
<sst xmlns="http://schemas.openxmlformats.org/spreadsheetml/2006/main" count="141" uniqueCount="43">
  <si>
    <t>Gain at different R</t>
  </si>
  <si>
    <t xml:space="preserve">fo </t>
  </si>
  <si>
    <t>SRC</t>
  </si>
  <si>
    <t>PRC</t>
  </si>
  <si>
    <t>fs</t>
  </si>
  <si>
    <t>R</t>
  </si>
  <si>
    <t>Req</t>
  </si>
  <si>
    <t>Q</t>
  </si>
  <si>
    <t>Gain (calculated)</t>
  </si>
  <si>
    <t>Gain (simulated)</t>
  </si>
  <si>
    <t>% Error</t>
  </si>
  <si>
    <t>Gain(simulated)</t>
  </si>
  <si>
    <t>High laod or High Q</t>
  </si>
  <si>
    <t>fs/fr</t>
  </si>
  <si>
    <t>Lr</t>
  </si>
  <si>
    <t>Cr</t>
  </si>
  <si>
    <t>Light load or Low Q</t>
  </si>
  <si>
    <t>Fsw</t>
  </si>
  <si>
    <t>Gain (calc)</t>
  </si>
  <si>
    <t>Heavy Load</t>
  </si>
  <si>
    <t>Light Load</t>
  </si>
  <si>
    <t>fr (kHz)</t>
  </si>
  <si>
    <t>fs (kHz)</t>
  </si>
  <si>
    <t>Gain (simu)</t>
  </si>
  <si>
    <t>Error %</t>
  </si>
  <si>
    <t>(fs/fr-fr/fs)^2</t>
  </si>
  <si>
    <t>3rd Harm</t>
  </si>
  <si>
    <t>wr (krad/sec)</t>
  </si>
  <si>
    <t>(1-fs/fr)^2</t>
  </si>
  <si>
    <t>L</t>
  </si>
  <si>
    <t>C</t>
  </si>
  <si>
    <t>Analytical vs. Simulated (R = 0.2 ohm Q = 81.529)</t>
  </si>
  <si>
    <t>Analytical vs. Simulated (R = 10 ohm Q = 1.631)</t>
  </si>
  <si>
    <t>Analytical vs. Simulated (R = 0.2 ohm Q = 0.0187)</t>
  </si>
  <si>
    <t>Analytical vs. Simulated (R = 10 ohm Q = 0.93)</t>
  </si>
  <si>
    <t>LLC</t>
  </si>
  <si>
    <t>1st term</t>
  </si>
  <si>
    <t>2nd term</t>
  </si>
  <si>
    <t>Lm</t>
  </si>
  <si>
    <t>Lr/Lm = (1/Ln)</t>
  </si>
  <si>
    <t>fp (kHz)</t>
  </si>
  <si>
    <t>R = 50 ohm</t>
  </si>
  <si>
    <t>Gain(sim)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</si>
</sst>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C0000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1" fontId="2" fillId="0" borderId="5" xfId="0" applyNumberFormat="1" applyFont="1" applyBorder="1" applyAlignment="1">
      <alignment horizontal="center" vertical="center"/>
    </xf>
    <xf numFmtId="11" fontId="2" fillId="0" borderId="8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vs 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'[1]Different_R_SRC,PRC'!$G$6:$G$13</c:f>
              <c:numCache>
                <c:formatCode>General</c:formatCode>
                <c:ptCount val="8"/>
                <c:pt idx="0">
                  <c:v>13.214099964226772</c:v>
                </c:pt>
                <c:pt idx="1">
                  <c:v>2.6428199928453546</c:v>
                </c:pt>
                <c:pt idx="2">
                  <c:v>1.3214099964226773</c:v>
                </c:pt>
                <c:pt idx="3">
                  <c:v>0.52856399856907088</c:v>
                </c:pt>
                <c:pt idx="4">
                  <c:v>0.26428199928453544</c:v>
                </c:pt>
                <c:pt idx="5">
                  <c:v>0.13214099964226772</c:v>
                </c:pt>
                <c:pt idx="6">
                  <c:v>8.8093999761511818E-2</c:v>
                </c:pt>
                <c:pt idx="7">
                  <c:v>5.2856399856907092E-2</c:v>
                </c:pt>
              </c:numCache>
            </c:numRef>
          </c:xVal>
          <c:yVal>
            <c:numRef>
              <c:f>'[1]Different_R_SRC,PRC'!$J$6:$J$13</c:f>
              <c:numCache>
                <c:formatCode>General</c:formatCode>
                <c:ptCount val="8"/>
                <c:pt idx="0">
                  <c:v>5.0387074781345405</c:v>
                </c:pt>
                <c:pt idx="1">
                  <c:v>24.459369525450281</c:v>
                </c:pt>
                <c:pt idx="2">
                  <c:v>45.043309242419667</c:v>
                </c:pt>
                <c:pt idx="3">
                  <c:v>78.359588728811602</c:v>
                </c:pt>
                <c:pt idx="4">
                  <c:v>92.961890287054246</c:v>
                </c:pt>
                <c:pt idx="5">
                  <c:v>98.091660352836684</c:v>
                </c:pt>
                <c:pt idx="6">
                  <c:v>99.138207506854243</c:v>
                </c:pt>
                <c:pt idx="7">
                  <c:v>99.687171681997569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2D-4E6F-9F68-659583D57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515840"/>
        <c:axId val="1940511520"/>
      </c:scatterChart>
      <c:valAx>
        <c:axId val="194051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11520"/>
        <c:crosses val="autoZero"/>
        <c:crossBetween val="midCat"/>
        <c:majorUnit val="2"/>
      </c:valAx>
      <c:valAx>
        <c:axId val="19405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1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02536400"/>
        <c:axId val="702536880"/>
      </c:scatterChart>
      <c:valAx>
        <c:axId val="70253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36880"/>
        <c:crosses val="autoZero"/>
        <c:crossBetween val="midCat"/>
      </c:valAx>
      <c:valAx>
        <c:axId val="7025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3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SRC_AnaVs.Sim!$E$7:$E$28</c:f>
              <c:numCache>
                <c:formatCode>0.0000</c:formatCode>
                <c:ptCount val="22"/>
                <c:pt idx="0">
                  <c:v>2.555317529687841E-3</c:v>
                </c:pt>
                <c:pt idx="1">
                  <c:v>5.8406452272644791E-3</c:v>
                </c:pt>
                <c:pt idx="2">
                  <c:v>1.1498206268656838E-2</c:v>
                </c:pt>
                <c:pt idx="3">
                  <c:v>2.7246689943198246E-2</c:v>
                </c:pt>
                <c:pt idx="4">
                  <c:v>1</c:v>
                </c:pt>
                <c:pt idx="5">
                  <c:v>3.3432838159243188E-2</c:v>
                </c:pt>
                <c:pt idx="6">
                  <c:v>1.7884420232275013E-2</c:v>
                </c:pt>
                <c:pt idx="7">
                  <c:v>1.2579070503059833E-2</c:v>
                </c:pt>
                <c:pt idx="8">
                  <c:v>8.1767694303449337E-3</c:v>
                </c:pt>
                <c:pt idx="9">
                  <c:v>6.1841998190443094E-3</c:v>
                </c:pt>
                <c:pt idx="10">
                  <c:v>4.2477761141109811E-3</c:v>
                </c:pt>
                <c:pt idx="11">
                  <c:v>3.2707996207991491E-3</c:v>
                </c:pt>
                <c:pt idx="12">
                  <c:v>2.6712567171482482E-3</c:v>
                </c:pt>
                <c:pt idx="13">
                  <c:v>2.2624171166317928E-3</c:v>
                </c:pt>
                <c:pt idx="14">
                  <c:v>1.9644509342351363E-3</c:v>
                </c:pt>
                <c:pt idx="15">
                  <c:v>1.7370560368785109E-3</c:v>
                </c:pt>
                <c:pt idx="16">
                  <c:v>1.5575300711046011E-3</c:v>
                </c:pt>
                <c:pt idx="17">
                  <c:v>1.4120467980539174E-3</c:v>
                </c:pt>
                <c:pt idx="18">
                  <c:v>1.2916774678733431E-3</c:v>
                </c:pt>
                <c:pt idx="19">
                  <c:v>1.1903861251482629E-3</c:v>
                </c:pt>
                <c:pt idx="20">
                  <c:v>1.1039395306319338E-3</c:v>
                </c:pt>
                <c:pt idx="21">
                  <c:v>1.0292775684190305E-3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5-40B4-9EA7-60B0F55FD7A8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SRC_AnaVs.Sim!$F$7:$F$28</c:f>
              <c:numCache>
                <c:formatCode>General</c:formatCode>
                <c:ptCount val="22"/>
                <c:pt idx="0">
                  <c:v>0.19320000000000001</c:v>
                </c:pt>
                <c:pt idx="1">
                  <c:v>1.2500000000000001E-2</c:v>
                </c:pt>
                <c:pt idx="2">
                  <c:v>1.2500000000000001E-2</c:v>
                </c:pt>
                <c:pt idx="3">
                  <c:v>2.7799999999999998E-2</c:v>
                </c:pt>
                <c:pt idx="4">
                  <c:v>0.99860000000000004</c:v>
                </c:pt>
                <c:pt idx="5">
                  <c:v>3.3099999999999997E-2</c:v>
                </c:pt>
                <c:pt idx="6">
                  <c:v>1.7600000000000001E-2</c:v>
                </c:pt>
                <c:pt idx="7">
                  <c:v>1.23E-2</c:v>
                </c:pt>
                <c:pt idx="8">
                  <c:v>8.0000000000000002E-3</c:v>
                </c:pt>
                <c:pt idx="9">
                  <c:v>6.0000000000000001E-3</c:v>
                </c:pt>
                <c:pt idx="10">
                  <c:v>4.1000000000000003E-3</c:v>
                </c:pt>
                <c:pt idx="11">
                  <c:v>3.2000000000000002E-3</c:v>
                </c:pt>
                <c:pt idx="12">
                  <c:v>2.5999999999999999E-3</c:v>
                </c:pt>
                <c:pt idx="13">
                  <c:v>2.2000000000000001E-3</c:v>
                </c:pt>
                <c:pt idx="14">
                  <c:v>1.9E-3</c:v>
                </c:pt>
                <c:pt idx="15">
                  <c:v>1.6999999999999999E-3</c:v>
                </c:pt>
                <c:pt idx="16">
                  <c:v>1.5E-3</c:v>
                </c:pt>
                <c:pt idx="17">
                  <c:v>1.4E-3</c:v>
                </c:pt>
                <c:pt idx="18">
                  <c:v>1.2999999999999999E-3</c:v>
                </c:pt>
                <c:pt idx="19">
                  <c:v>1.1999999999999999E-3</c:v>
                </c:pt>
                <c:pt idx="20">
                  <c:v>1.1000000000000001E-3</c:v>
                </c:pt>
                <c:pt idx="21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5-40B4-9EA7-60B0F55FD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SRC_AnaVs.Sim!$O$7:$O$28</c:f>
              <c:numCache>
                <c:formatCode>0.0000</c:formatCode>
                <c:ptCount val="22"/>
                <c:pt idx="0">
                  <c:v>0.1267360471687381</c:v>
                </c:pt>
                <c:pt idx="1">
                  <c:v>0.28032781283210473</c:v>
                </c:pt>
                <c:pt idx="2">
                  <c:v>0.49843745428941649</c:v>
                </c:pt>
                <c:pt idx="3">
                  <c:v>0.80624030525692636</c:v>
                </c:pt>
                <c:pt idx="4">
                  <c:v>1</c:v>
                </c:pt>
                <c:pt idx="5">
                  <c:v>0.85829470714931955</c:v>
                </c:pt>
                <c:pt idx="6">
                  <c:v>0.66664052180024236</c:v>
                </c:pt>
                <c:pt idx="7">
                  <c:v>0.53243355069401033</c:v>
                </c:pt>
                <c:pt idx="8">
                  <c:v>0.37844351166432511</c:v>
                </c:pt>
                <c:pt idx="9">
                  <c:v>0.29541527129277428</c:v>
                </c:pt>
                <c:pt idx="10">
                  <c:v>0.20775647930320421</c:v>
                </c:pt>
                <c:pt idx="11">
                  <c:v>0.16139676980562642</c:v>
                </c:pt>
                <c:pt idx="12">
                  <c:v>0.13238768975442872</c:v>
                </c:pt>
                <c:pt idx="13">
                  <c:v>0.11240424698799155</c:v>
                </c:pt>
                <c:pt idx="14">
                  <c:v>9.775232526598239E-2</c:v>
                </c:pt>
                <c:pt idx="15">
                  <c:v>8.6527190043117985E-2</c:v>
                </c:pt>
                <c:pt idx="16">
                  <c:v>7.7641515154333485E-2</c:v>
                </c:pt>
                <c:pt idx="17">
                  <c:v>7.0427099491994105E-2</c:v>
                </c:pt>
                <c:pt idx="18">
                  <c:v>6.4449654689595515E-2</c:v>
                </c:pt>
                <c:pt idx="19">
                  <c:v>5.941420249058655E-2</c:v>
                </c:pt>
                <c:pt idx="20">
                  <c:v>5.5113117175507348E-2</c:v>
                </c:pt>
                <c:pt idx="21">
                  <c:v>5.1395888819250182E-2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B-4038-897C-C347EBEFAE8B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SRC_AnaVs.Sim!$P$7:$P$28</c:f>
              <c:numCache>
                <c:formatCode>General</c:formatCode>
                <c:ptCount val="22"/>
                <c:pt idx="0">
                  <c:v>0.33300000000000002</c:v>
                </c:pt>
                <c:pt idx="1">
                  <c:v>0.38540000000000002</c:v>
                </c:pt>
                <c:pt idx="2">
                  <c:v>0.6069</c:v>
                </c:pt>
                <c:pt idx="3">
                  <c:v>0.91820000000000002</c:v>
                </c:pt>
                <c:pt idx="4">
                  <c:v>1</c:v>
                </c:pt>
                <c:pt idx="5">
                  <c:v>0.80989999999999995</c:v>
                </c:pt>
                <c:pt idx="6">
                  <c:v>0.61699999999999999</c:v>
                </c:pt>
                <c:pt idx="7">
                  <c:v>0.49390000000000001</c:v>
                </c:pt>
                <c:pt idx="8">
                  <c:v>0.35510000000000003</c:v>
                </c:pt>
                <c:pt idx="9">
                  <c:v>0.2797</c:v>
                </c:pt>
                <c:pt idx="10">
                  <c:v>0.19869999999999999</c:v>
                </c:pt>
                <c:pt idx="11">
                  <c:v>0.15509999999999999</c:v>
                </c:pt>
                <c:pt idx="12">
                  <c:v>0.1275</c:v>
                </c:pt>
                <c:pt idx="13">
                  <c:v>0.1084</c:v>
                </c:pt>
                <c:pt idx="14">
                  <c:v>9.4399999999999998E-2</c:v>
                </c:pt>
                <c:pt idx="15">
                  <c:v>8.3599999999999994E-2</c:v>
                </c:pt>
                <c:pt idx="16">
                  <c:v>7.51E-2</c:v>
                </c:pt>
                <c:pt idx="17">
                  <c:v>6.8099999999999994E-2</c:v>
                </c:pt>
                <c:pt idx="18">
                  <c:v>6.2399999999999997E-2</c:v>
                </c:pt>
                <c:pt idx="19">
                  <c:v>5.7500000000000002E-2</c:v>
                </c:pt>
                <c:pt idx="20">
                  <c:v>5.33E-2</c:v>
                </c:pt>
                <c:pt idx="21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4B-4038-897C-C347EBEFA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(fs/fr-fr/fs)^2 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[1]SRC_AnaVs.Sim!$H$7:$H$28</c:f>
              <c:numCache>
                <c:formatCode>General</c:formatCode>
                <c:ptCount val="22"/>
                <c:pt idx="0">
                  <c:v>1598.0006250000001</c:v>
                </c:pt>
                <c:pt idx="1">
                  <c:v>398.0025</c:v>
                </c:pt>
                <c:pt idx="2">
                  <c:v>98.01</c:v>
                </c:pt>
                <c:pt idx="3">
                  <c:v>23.04</c:v>
                </c:pt>
                <c:pt idx="4">
                  <c:v>9.2011111111111124</c:v>
                </c:pt>
                <c:pt idx="5">
                  <c:v>4.41</c:v>
                </c:pt>
                <c:pt idx="6">
                  <c:v>2.25</c:v>
                </c:pt>
                <c:pt idx="7">
                  <c:v>1.1377777777777782</c:v>
                </c:pt>
                <c:pt idx="8">
                  <c:v>0.53081632653061239</c:v>
                </c:pt>
                <c:pt idx="9">
                  <c:v>0.20249999999999996</c:v>
                </c:pt>
                <c:pt idx="10">
                  <c:v>4.4567901234567914E-2</c:v>
                </c:pt>
                <c:pt idx="11">
                  <c:v>0</c:v>
                </c:pt>
                <c:pt idx="12">
                  <c:v>3.644628099173558E-2</c:v>
                </c:pt>
                <c:pt idx="13">
                  <c:v>0.13444444444444439</c:v>
                </c:pt>
                <c:pt idx="14">
                  <c:v>0.28171597633136097</c:v>
                </c:pt>
                <c:pt idx="15">
                  <c:v>0.47020408163265293</c:v>
                </c:pt>
                <c:pt idx="16">
                  <c:v>0.69444444444444453</c:v>
                </c:pt>
                <c:pt idx="17">
                  <c:v>0.95062500000000016</c:v>
                </c:pt>
                <c:pt idx="18">
                  <c:v>1.2360207612456748</c:v>
                </c:pt>
                <c:pt idx="19">
                  <c:v>1.548641975308642</c:v>
                </c:pt>
                <c:pt idx="20">
                  <c:v>1.8870083102493076</c:v>
                </c:pt>
                <c:pt idx="2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F-4EF7-9D19-9B02CD76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518927"/>
        <c:axId val="1162525167"/>
      </c:scatterChart>
      <c:valAx>
        <c:axId val="116251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25167"/>
        <c:crosses val="autoZero"/>
        <c:crossBetween val="midCat"/>
      </c:valAx>
      <c:valAx>
        <c:axId val="116252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1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PRC_AnaVs.Sim!$E$7:$E$28</c:f>
              <c:numCache>
                <c:formatCode>0.0000</c:formatCode>
                <c:ptCount val="22"/>
                <c:pt idx="0">
                  <c:v>7.5358221308147982E-2</c:v>
                </c:pt>
                <c:pt idx="1">
                  <c:v>3.7801045680841444E-2</c:v>
                </c:pt>
                <c:pt idx="2">
                  <c:v>2.52150567605301E-2</c:v>
                </c:pt>
                <c:pt idx="3">
                  <c:v>1.8914374196149289E-2</c:v>
                </c:pt>
                <c:pt idx="4">
                  <c:v>1.5132033285816388E-2</c:v>
                </c:pt>
                <c:pt idx="5">
                  <c:v>1.2609732326448672E-2</c:v>
                </c:pt>
                <c:pt idx="6">
                  <c:v>1.080770970862705E-2</c:v>
                </c:pt>
                <c:pt idx="7">
                  <c:v>9.4559545476692423E-3</c:v>
                </c:pt>
                <c:pt idx="8">
                  <c:v>7.563051957699486E-3</c:v>
                </c:pt>
                <c:pt idx="9">
                  <c:v>6.3006965384003397E-3</c:v>
                </c:pt>
                <c:pt idx="10">
                  <c:v>4.7219050430575248E-3</c:v>
                </c:pt>
                <c:pt idx="11">
                  <c:v>3.7737721672446325E-3</c:v>
                </c:pt>
                <c:pt idx="12">
                  <c:v>3.1409884443250528E-3</c:v>
                </c:pt>
                <c:pt idx="13">
                  <c:v>2.6884147096834119E-3</c:v>
                </c:pt>
                <c:pt idx="14">
                  <c:v>2.348480302026063E-3</c:v>
                </c:pt>
                <c:pt idx="15">
                  <c:v>2.0836461058701167E-3</c:v>
                </c:pt>
                <c:pt idx="16">
                  <c:v>1.8713890926374069E-3</c:v>
                </c:pt>
                <c:pt idx="17">
                  <c:v>1.6973769191335451E-3</c:v>
                </c:pt>
                <c:pt idx="18">
                  <c:v>1.5520551608652982E-3</c:v>
                </c:pt>
                <c:pt idx="19">
                  <c:v>1.4288096424162435E-3</c:v>
                </c:pt>
                <c:pt idx="20">
                  <c:v>1.3229163289128776E-3</c:v>
                </c:pt>
                <c:pt idx="21">
                  <c:v>1.2309112551776834E-3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DD-4179-996C-0D18A74D8DFA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PRC_AnaVs.Sim!$F$7:$F$28</c:f>
              <c:numCache>
                <c:formatCode>General</c:formatCode>
                <c:ptCount val="22"/>
                <c:pt idx="0">
                  <c:v>0.1111</c:v>
                </c:pt>
                <c:pt idx="1">
                  <c:v>5.3199999999999997E-2</c:v>
                </c:pt>
                <c:pt idx="2">
                  <c:v>3.4099999999999998E-2</c:v>
                </c:pt>
                <c:pt idx="3">
                  <c:v>2.4799999999999999E-2</c:v>
                </c:pt>
                <c:pt idx="4">
                  <c:v>1.9400000000000001E-2</c:v>
                </c:pt>
                <c:pt idx="5">
                  <c:v>1.5900000000000001E-2</c:v>
                </c:pt>
                <c:pt idx="6">
                  <c:v>1.34E-2</c:v>
                </c:pt>
                <c:pt idx="7">
                  <c:v>1.1599999999999999E-2</c:v>
                </c:pt>
                <c:pt idx="8">
                  <c:v>8.9999999999999993E-3</c:v>
                </c:pt>
                <c:pt idx="9">
                  <c:v>7.4000000000000003E-3</c:v>
                </c:pt>
                <c:pt idx="10">
                  <c:v>5.4000000000000003E-3</c:v>
                </c:pt>
                <c:pt idx="11">
                  <c:v>4.1999999999999997E-3</c:v>
                </c:pt>
                <c:pt idx="12">
                  <c:v>3.3999999999999998E-3</c:v>
                </c:pt>
                <c:pt idx="13">
                  <c:v>2.8E-3</c:v>
                </c:pt>
                <c:pt idx="14">
                  <c:v>2.3999999999999998E-3</c:v>
                </c:pt>
                <c:pt idx="15">
                  <c:v>2.0999999999999999E-3</c:v>
                </c:pt>
                <c:pt idx="16">
                  <c:v>1.9E-3</c:v>
                </c:pt>
                <c:pt idx="17">
                  <c:v>1.6999999999999999E-3</c:v>
                </c:pt>
                <c:pt idx="18">
                  <c:v>1.5E-3</c:v>
                </c:pt>
                <c:pt idx="19">
                  <c:v>1.4E-3</c:v>
                </c:pt>
                <c:pt idx="20">
                  <c:v>1.2999999999999999E-3</c:v>
                </c:pt>
                <c:pt idx="21">
                  <c:v>1.1999999999999999E-3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DD-4179-996C-0D18A74D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PRC_AnaVs.Sim!$O$7:$O$28</c:f>
              <c:numCache>
                <c:formatCode>0.0000</c:formatCode>
                <c:ptCount val="22"/>
                <c:pt idx="0">
                  <c:v>0.82406703907837309</c:v>
                </c:pt>
                <c:pt idx="1">
                  <c:v>0.8595692909419137</c:v>
                </c:pt>
                <c:pt idx="2">
                  <c:v>0.89360603153647922</c:v>
                </c:pt>
                <c:pt idx="3">
                  <c:v>0.87195436849301988</c:v>
                </c:pt>
                <c:pt idx="4">
                  <c:v>0.75660166429081954</c:v>
                </c:pt>
                <c:pt idx="5">
                  <c:v>0.59653053348598106</c:v>
                </c:pt>
                <c:pt idx="6">
                  <c:v>0.45517626463531419</c:v>
                </c:pt>
                <c:pt idx="7">
                  <c:v>0.3497269423375573</c:v>
                </c:pt>
                <c:pt idx="8">
                  <c:v>0.21986939039230544</c:v>
                </c:pt>
                <c:pt idx="9">
                  <c:v>0.14982667049404316</c:v>
                </c:pt>
                <c:pt idx="10">
                  <c:v>8.2245544498547082E-2</c:v>
                </c:pt>
                <c:pt idx="11">
                  <c:v>5.1959160674127682E-2</c:v>
                </c:pt>
                <c:pt idx="12">
                  <c:v>3.5815255097592931E-2</c:v>
                </c:pt>
                <c:pt idx="13">
                  <c:v>2.6192098798812982E-2</c:v>
                </c:pt>
                <c:pt idx="14">
                  <c:v>1.999235699411981E-2</c:v>
                </c:pt>
                <c:pt idx="15">
                  <c:v>1.5763138797298015E-2</c:v>
                </c:pt>
                <c:pt idx="16">
                  <c:v>1.2748749964403493E-2</c:v>
                </c:pt>
                <c:pt idx="17">
                  <c:v>1.0524253852593141E-2</c:v>
                </c:pt>
                <c:pt idx="18">
                  <c:v>8.8356680908017304E-3</c:v>
                </c:pt>
                <c:pt idx="19">
                  <c:v>7.5235473218808104E-3</c:v>
                </c:pt>
                <c:pt idx="20">
                  <c:v>6.483666380611537E-3</c:v>
                </c:pt>
                <c:pt idx="21">
                  <c:v>5.6455492969473622E-3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4-47B4-9994-BBB1FA9B910C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PRC_AnaVs.Sim!$P$7:$P$28</c:f>
              <c:numCache>
                <c:formatCode>General</c:formatCode>
                <c:ptCount val="22"/>
                <c:pt idx="0">
                  <c:v>0.87680000000000002</c:v>
                </c:pt>
                <c:pt idx="1">
                  <c:v>0.99780000000000002</c:v>
                </c:pt>
                <c:pt idx="2">
                  <c:v>0.71160000000000001</c:v>
                </c:pt>
                <c:pt idx="3">
                  <c:v>0.99760000000000004</c:v>
                </c:pt>
                <c:pt idx="4">
                  <c:v>0.81859999999999999</c:v>
                </c:pt>
                <c:pt idx="5">
                  <c:v>0.59589999999999999</c:v>
                </c:pt>
                <c:pt idx="6">
                  <c:v>0.44400000000000001</c:v>
                </c:pt>
                <c:pt idx="7">
                  <c:v>0.34110000000000001</c:v>
                </c:pt>
                <c:pt idx="8">
                  <c:v>0.21709999999999999</c:v>
                </c:pt>
                <c:pt idx="9">
                  <c:v>0.14940000000000001</c:v>
                </c:pt>
                <c:pt idx="10">
                  <c:v>8.2799999999999999E-2</c:v>
                </c:pt>
                <c:pt idx="11">
                  <c:v>5.2499999999999998E-2</c:v>
                </c:pt>
                <c:pt idx="12">
                  <c:v>3.6299999999999999E-2</c:v>
                </c:pt>
                <c:pt idx="13">
                  <c:v>2.6499999999999999E-2</c:v>
                </c:pt>
                <c:pt idx="14">
                  <c:v>2.0299999999999999E-2</c:v>
                </c:pt>
                <c:pt idx="15">
                  <c:v>1.6E-2</c:v>
                </c:pt>
                <c:pt idx="16">
                  <c:v>1.29E-2</c:v>
                </c:pt>
                <c:pt idx="17">
                  <c:v>1.0699999999999999E-2</c:v>
                </c:pt>
                <c:pt idx="18">
                  <c:v>8.9999999999999993E-3</c:v>
                </c:pt>
                <c:pt idx="19">
                  <c:v>7.6E-3</c:v>
                </c:pt>
                <c:pt idx="20">
                  <c:v>6.6E-3</c:v>
                </c:pt>
                <c:pt idx="21">
                  <c:v>5.7000000000000002E-3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04-47B4-9994-BBB1FA9B9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(1-fs/fr)^2 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[1]PRC_AnaVs.Sim!$H$7:$H$28</c:f>
              <c:numCache>
                <c:formatCode>General</c:formatCode>
                <c:ptCount val="22"/>
                <c:pt idx="0">
                  <c:v>0.99875039062500004</c:v>
                </c:pt>
                <c:pt idx="1">
                  <c:v>0.99500625000000009</c:v>
                </c:pt>
                <c:pt idx="2">
                  <c:v>0.98009999999999997</c:v>
                </c:pt>
                <c:pt idx="3">
                  <c:v>0.92159999999999997</c:v>
                </c:pt>
                <c:pt idx="4">
                  <c:v>0.82810000000000006</c:v>
                </c:pt>
                <c:pt idx="5">
                  <c:v>0.70559999999999989</c:v>
                </c:pt>
                <c:pt idx="6">
                  <c:v>0.5625</c:v>
                </c:pt>
                <c:pt idx="7">
                  <c:v>0.40960000000000002</c:v>
                </c:pt>
                <c:pt idx="8">
                  <c:v>0.2601</c:v>
                </c:pt>
                <c:pt idx="9">
                  <c:v>0.12959999999999991</c:v>
                </c:pt>
                <c:pt idx="10">
                  <c:v>3.6099999999999979E-2</c:v>
                </c:pt>
                <c:pt idx="11">
                  <c:v>0</c:v>
                </c:pt>
                <c:pt idx="12">
                  <c:v>4.4100000000000077E-2</c:v>
                </c:pt>
                <c:pt idx="13">
                  <c:v>0.19359999999999997</c:v>
                </c:pt>
                <c:pt idx="14">
                  <c:v>0.47610000000000025</c:v>
                </c:pt>
                <c:pt idx="15">
                  <c:v>0.92159999999999953</c:v>
                </c:pt>
                <c:pt idx="16">
                  <c:v>1.5625</c:v>
                </c:pt>
                <c:pt idx="17">
                  <c:v>2.4336000000000015</c:v>
                </c:pt>
                <c:pt idx="18">
                  <c:v>3.5720999999999989</c:v>
                </c:pt>
                <c:pt idx="19">
                  <c:v>5.0176000000000007</c:v>
                </c:pt>
                <c:pt idx="20">
                  <c:v>6.8120999999999992</c:v>
                </c:pt>
                <c:pt idx="2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E-4E4B-BDAE-5B4D560F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518927"/>
        <c:axId val="1162525167"/>
      </c:scatterChart>
      <c:valAx>
        <c:axId val="116251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25167"/>
        <c:crosses val="autoZero"/>
        <c:crossBetween val="midCat"/>
      </c:valAx>
      <c:valAx>
        <c:axId val="116252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1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PRC (10</a:t>
            </a:r>
            <a:r>
              <a:rPr lang="el-GR"/>
              <a:t>Ω</a:t>
            </a:r>
            <a:r>
              <a:rPr lang="en-I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PRC_AnaVs.Sim!$N$30:$N$39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xVal>
          <c:yVal>
            <c:numRef>
              <c:f>PRC_AnaVs.Sim!$O$30:$O$39</c:f>
              <c:numCache>
                <c:formatCode>0.0000</c:formatCode>
                <c:ptCount val="10"/>
                <c:pt idx="0">
                  <c:v>0.86778341573273987</c:v>
                </c:pt>
                <c:pt idx="1">
                  <c:v>0.87572862423547371</c:v>
                </c:pt>
                <c:pt idx="2">
                  <c:v>0.88300326765081694</c:v>
                </c:pt>
                <c:pt idx="3">
                  <c:v>0.88913825695202453</c:v>
                </c:pt>
                <c:pt idx="4">
                  <c:v>0.89360603153647922</c:v>
                </c:pt>
                <c:pt idx="5">
                  <c:v>0.89584062468717229</c:v>
                </c:pt>
                <c:pt idx="6">
                  <c:v>0.89527074036527543</c:v>
                </c:pt>
                <c:pt idx="7">
                  <c:v>0.89136546770608105</c:v>
                </c:pt>
                <c:pt idx="8">
                  <c:v>0.88368870966559043</c:v>
                </c:pt>
                <c:pt idx="9">
                  <c:v>0.87195436849301988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E-452D-A2FE-C1BB57EEDDFE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PRC_AnaVs.Sim!$N$30:$N$39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xVal>
          <c:yVal>
            <c:numRef>
              <c:f>PRC_AnaVs.Sim!$P$30:$P$39</c:f>
              <c:numCache>
                <c:formatCode>General</c:formatCode>
                <c:ptCount val="10"/>
                <c:pt idx="0">
                  <c:v>0.85189999999999999</c:v>
                </c:pt>
                <c:pt idx="1">
                  <c:v>0.65080000000000005</c:v>
                </c:pt>
                <c:pt idx="2">
                  <c:v>0.5897</c:v>
                </c:pt>
                <c:pt idx="3">
                  <c:v>0.63539999999999996</c:v>
                </c:pt>
                <c:pt idx="4">
                  <c:v>0.71160000000000001</c:v>
                </c:pt>
                <c:pt idx="5">
                  <c:v>0.78790000000000004</c:v>
                </c:pt>
                <c:pt idx="6">
                  <c:v>0.8589</c:v>
                </c:pt>
                <c:pt idx="7">
                  <c:v>0.91810000000000003</c:v>
                </c:pt>
                <c:pt idx="8">
                  <c:v>0.95909999999999995</c:v>
                </c:pt>
                <c:pt idx="9">
                  <c:v>0.97770000000000001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9E-452D-A2FE-C1BB57EE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929999"/>
        <c:axId val="1674932879"/>
      </c:scatterChart>
      <c:valAx>
        <c:axId val="1674929999"/>
        <c:scaling>
          <c:orientation val="minMax"/>
          <c:max val="21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32879"/>
        <c:crosses val="autoZero"/>
        <c:crossBetween val="midCat"/>
      </c:valAx>
      <c:valAx>
        <c:axId val="16749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29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LLC_AnaVs.Sim!$E$7:$E$28</c:f>
              <c:numCache>
                <c:formatCode>0.0000</c:formatCode>
                <c:ptCount val="22"/>
                <c:pt idx="0">
                  <c:v>2.555205411695541E-3</c:v>
                </c:pt>
                <c:pt idx="1">
                  <c:v>5.8407446021116523E-3</c:v>
                </c:pt>
                <c:pt idx="2">
                  <c:v>1.1498650707639233E-2</c:v>
                </c:pt>
                <c:pt idx="3">
                  <c:v>2.7248837783991332E-2</c:v>
                </c:pt>
                <c:pt idx="4">
                  <c:v>1</c:v>
                </c:pt>
                <c:pt idx="5">
                  <c:v>3.3430484923306032E-2</c:v>
                </c:pt>
                <c:pt idx="6">
                  <c:v>1.7883832451490923E-2</c:v>
                </c:pt>
                <c:pt idx="7">
                  <c:v>1.2578813145603961E-2</c:v>
                </c:pt>
                <c:pt idx="8">
                  <c:v>8.1766812771707099E-3</c:v>
                </c:pt>
                <c:pt idx="9">
                  <c:v>6.1841574991892872E-3</c:v>
                </c:pt>
                <c:pt idx="10">
                  <c:v>4.2477610340039421E-3</c:v>
                </c:pt>
                <c:pt idx="11">
                  <c:v>3.2707924448438443E-3</c:v>
                </c:pt>
                <c:pt idx="12">
                  <c:v>2.6712527215601101E-3</c:v>
                </c:pt>
                <c:pt idx="13">
                  <c:v>2.2624146573691052E-3</c:v>
                </c:pt>
                <c:pt idx="14">
                  <c:v>1.9644493107576835E-3</c:v>
                </c:pt>
                <c:pt idx="15">
                  <c:v>1.7370549080134667E-3</c:v>
                </c:pt>
                <c:pt idx="16">
                  <c:v>1.557529254005183E-3</c:v>
                </c:pt>
                <c:pt idx="17">
                  <c:v>1.4120461873722628E-3</c:v>
                </c:pt>
                <c:pt idx="18">
                  <c:v>1.2916769993643463E-3</c:v>
                </c:pt>
                <c:pt idx="19">
                  <c:v>1.1903857577924687E-3</c:v>
                </c:pt>
                <c:pt idx="20">
                  <c:v>1.1039392372269655E-3</c:v>
                </c:pt>
                <c:pt idx="21">
                  <c:v>1.0292773303409912E-3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3-4CBF-B1E5-07BF64AD8D18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LLC_AnaVs.Sim!$D$7:$D$28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LLC_AnaVs.Sim!$F$7:$F$28</c:f>
              <c:numCache>
                <c:formatCode>General</c:formatCode>
                <c:ptCount val="22"/>
                <c:pt idx="0">
                  <c:v>0.19989999999999999</c:v>
                </c:pt>
                <c:pt idx="1">
                  <c:v>1.2500000000000001E-2</c:v>
                </c:pt>
                <c:pt idx="2">
                  <c:v>1.2500000000000001E-2</c:v>
                </c:pt>
                <c:pt idx="3">
                  <c:v>2.7799999999999998E-2</c:v>
                </c:pt>
                <c:pt idx="4">
                  <c:v>0.99970000000000003</c:v>
                </c:pt>
                <c:pt idx="5">
                  <c:v>3.3099999999999997E-2</c:v>
                </c:pt>
                <c:pt idx="6">
                  <c:v>1.7600000000000001E-2</c:v>
                </c:pt>
                <c:pt idx="7">
                  <c:v>1.23E-2</c:v>
                </c:pt>
                <c:pt idx="8">
                  <c:v>8.0000000000000002E-3</c:v>
                </c:pt>
                <c:pt idx="9">
                  <c:v>6.0000000000000001E-3</c:v>
                </c:pt>
                <c:pt idx="10">
                  <c:v>4.1000000000000003E-3</c:v>
                </c:pt>
                <c:pt idx="11">
                  <c:v>3.2000000000000002E-3</c:v>
                </c:pt>
                <c:pt idx="12">
                  <c:v>2.5999999999999999E-3</c:v>
                </c:pt>
                <c:pt idx="13">
                  <c:v>2.2000000000000001E-3</c:v>
                </c:pt>
                <c:pt idx="14">
                  <c:v>1.9E-3</c:v>
                </c:pt>
                <c:pt idx="15">
                  <c:v>1.6999999999999999E-3</c:v>
                </c:pt>
                <c:pt idx="16">
                  <c:v>1.5E-3</c:v>
                </c:pt>
                <c:pt idx="17">
                  <c:v>1.4E-3</c:v>
                </c:pt>
                <c:pt idx="18">
                  <c:v>1.2999999999999999E-3</c:v>
                </c:pt>
                <c:pt idx="19">
                  <c:v>1.1999999999999999E-3</c:v>
                </c:pt>
                <c:pt idx="20">
                  <c:v>1.1000000000000001E-3</c:v>
                </c:pt>
                <c:pt idx="21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33-4CBF-B1E5-07BF64AD8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LLC_AnaVs.Sim!$O$7:$O$28</c:f>
              <c:numCache>
                <c:formatCode>0.0000</c:formatCode>
                <c:ptCount val="22"/>
                <c:pt idx="0">
                  <c:v>0.11493596294754066</c:v>
                </c:pt>
                <c:pt idx="1">
                  <c:v>0.29200611426709605</c:v>
                </c:pt>
                <c:pt idx="2">
                  <c:v>0.53913040195125816</c:v>
                </c:pt>
                <c:pt idx="3">
                  <c:v>0.86839643144553058</c:v>
                </c:pt>
                <c:pt idx="4">
                  <c:v>1</c:v>
                </c:pt>
                <c:pt idx="5">
                  <c:v>0.82104765235136867</c:v>
                </c:pt>
                <c:pt idx="6">
                  <c:v>0.63813586424145896</c:v>
                </c:pt>
                <c:pt idx="7">
                  <c:v>0.51392856473864756</c:v>
                </c:pt>
                <c:pt idx="8">
                  <c:v>0.36999524030383962</c:v>
                </c:pt>
                <c:pt idx="9">
                  <c:v>0.29090744756689185</c:v>
                </c:pt>
                <c:pt idx="10">
                  <c:v>0.20601428772975031</c:v>
                </c:pt>
                <c:pt idx="11">
                  <c:v>0.16054142595539908</c:v>
                </c:pt>
                <c:pt idx="12">
                  <c:v>0.13190397170310333</c:v>
                </c:pt>
                <c:pt idx="13">
                  <c:v>0.11210385240757291</c:v>
                </c:pt>
                <c:pt idx="14">
                  <c:v>9.7552902857780302E-2</c:v>
                </c:pt>
                <c:pt idx="15">
                  <c:v>8.6387999462353815E-2</c:v>
                </c:pt>
                <c:pt idx="16">
                  <c:v>7.7540496936360781E-2</c:v>
                </c:pt>
                <c:pt idx="17">
                  <c:v>7.035145328871209E-2</c:v>
                </c:pt>
                <c:pt idx="18">
                  <c:v>6.4391534111358478E-2</c:v>
                </c:pt>
                <c:pt idx="19">
                  <c:v>5.9368578436052623E-2</c:v>
                </c:pt>
                <c:pt idx="20">
                  <c:v>5.5076644683948628E-2</c:v>
                </c:pt>
                <c:pt idx="21">
                  <c:v>5.1366272465157375E-2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EA-4181-BD33-B86C0244F550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LLC_AnaVs.Sim!$N$7:$N$28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LLC_AnaVs.Sim!$P$7:$P$28</c:f>
              <c:numCache>
                <c:formatCode>General</c:formatCode>
                <c:ptCount val="22"/>
                <c:pt idx="0">
                  <c:v>0.31209999999999999</c:v>
                </c:pt>
                <c:pt idx="1">
                  <c:v>0.37490000000000001</c:v>
                </c:pt>
                <c:pt idx="2">
                  <c:v>0.62250000000000005</c:v>
                </c:pt>
                <c:pt idx="3">
                  <c:v>1.0118</c:v>
                </c:pt>
                <c:pt idx="4">
                  <c:v>1</c:v>
                </c:pt>
                <c:pt idx="5">
                  <c:v>0.77110000000000001</c:v>
                </c:pt>
                <c:pt idx="6">
                  <c:v>0.58609999999999995</c:v>
                </c:pt>
                <c:pt idx="7">
                  <c:v>0.47220000000000001</c:v>
                </c:pt>
                <c:pt idx="8">
                  <c:v>0.34399999999999997</c:v>
                </c:pt>
                <c:pt idx="9">
                  <c:v>0.2732</c:v>
                </c:pt>
                <c:pt idx="10">
                  <c:v>0.19589999999999999</c:v>
                </c:pt>
                <c:pt idx="11">
                  <c:v>0.15359999999999999</c:v>
                </c:pt>
                <c:pt idx="12">
                  <c:v>0.12670000000000001</c:v>
                </c:pt>
                <c:pt idx="13">
                  <c:v>0.1079</c:v>
                </c:pt>
                <c:pt idx="14">
                  <c:v>9.4100000000000003E-2</c:v>
                </c:pt>
                <c:pt idx="15">
                  <c:v>8.3400000000000002E-2</c:v>
                </c:pt>
                <c:pt idx="16">
                  <c:v>7.4899999999999994E-2</c:v>
                </c:pt>
                <c:pt idx="17">
                  <c:v>6.8000000000000005E-2</c:v>
                </c:pt>
                <c:pt idx="18">
                  <c:v>6.2300000000000001E-2</c:v>
                </c:pt>
                <c:pt idx="19">
                  <c:v>5.74E-2</c:v>
                </c:pt>
                <c:pt idx="20">
                  <c:v>5.3199999999999997E-2</c:v>
                </c:pt>
                <c:pt idx="21">
                  <c:v>4.9700000000000001E-2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EA-4181-BD33-B86C0244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%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LLC_AnaVs.Sim!$G$7:$G$28</c:f>
              <c:numCache>
                <c:formatCode>0.0000</c:formatCode>
                <c:ptCount val="22"/>
                <c:pt idx="0">
                  <c:v>98.721758173238854</c:v>
                </c:pt>
                <c:pt idx="1">
                  <c:v>53.274043183106784</c:v>
                </c:pt>
                <c:pt idx="2">
                  <c:v>8.0107943388861411</c:v>
                </c:pt>
                <c:pt idx="3">
                  <c:v>1.9825978993117508</c:v>
                </c:pt>
                <c:pt idx="4">
                  <c:v>3.0009002700806937E-2</c:v>
                </c:pt>
                <c:pt idx="5">
                  <c:v>0.99844387705750681</c:v>
                </c:pt>
                <c:pt idx="6">
                  <c:v>1.6126843834711491</c:v>
                </c:pt>
                <c:pt idx="7">
                  <c:v>2.2667735414956134</c:v>
                </c:pt>
                <c:pt idx="8">
                  <c:v>2.2085159646338712</c:v>
                </c:pt>
                <c:pt idx="9">
                  <c:v>3.0692916531547838</c:v>
                </c:pt>
                <c:pt idx="10">
                  <c:v>3.6039276586327254</c:v>
                </c:pt>
                <c:pt idx="11">
                  <c:v>2.2122639013701288</c:v>
                </c:pt>
                <c:pt idx="12">
                  <c:v>2.7404892907734699</c:v>
                </c:pt>
                <c:pt idx="13">
                  <c:v>2.8370298804138687</c:v>
                </c:pt>
                <c:pt idx="14">
                  <c:v>3.392068987246502</c:v>
                </c:pt>
                <c:pt idx="15">
                  <c:v>2.1797004713804022</c:v>
                </c:pt>
                <c:pt idx="16">
                  <c:v>3.8352836003455297</c:v>
                </c:pt>
                <c:pt idx="17">
                  <c:v>0.86044195516162991</c:v>
                </c:pt>
                <c:pt idx="18">
                  <c:v>0.64023081812720051</c:v>
                </c:pt>
                <c:pt idx="19">
                  <c:v>0.80118685062759831</c:v>
                </c:pt>
                <c:pt idx="20">
                  <c:v>0.35811247517867251</c:v>
                </c:pt>
                <c:pt idx="21">
                  <c:v>2.9277330340991186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80-495E-BAEE-CF2953B4D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038784"/>
        <c:axId val="1017039264"/>
      </c:scatterChart>
      <c:valAx>
        <c:axId val="101703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39264"/>
        <c:crosses val="autoZero"/>
        <c:crossBetween val="midCat"/>
      </c:valAx>
      <c:valAx>
        <c:axId val="10170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3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%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LLC_AnaVs.Sim!$Q$7:$Q$28</c:f>
              <c:numCache>
                <c:formatCode>0.0000</c:formatCode>
                <c:ptCount val="22"/>
                <c:pt idx="0">
                  <c:v>63.173353749586461</c:v>
                </c:pt>
                <c:pt idx="1">
                  <c:v>22.110932444092811</c:v>
                </c:pt>
                <c:pt idx="2">
                  <c:v>13.392706513854117</c:v>
                </c:pt>
                <c:pt idx="3">
                  <c:v>14.173114108961203</c:v>
                </c:pt>
                <c:pt idx="4">
                  <c:v>0</c:v>
                </c:pt>
                <c:pt idx="5">
                  <c:v>6.4774545910217434</c:v>
                </c:pt>
                <c:pt idx="6">
                  <c:v>8.8783252416753129</c:v>
                </c:pt>
                <c:pt idx="7">
                  <c:v>8.8370531000947814</c:v>
                </c:pt>
                <c:pt idx="8">
                  <c:v>7.5567559022789696</c:v>
                </c:pt>
                <c:pt idx="9">
                  <c:v>6.4814961811463592</c:v>
                </c:pt>
                <c:pt idx="10">
                  <c:v>5.1629850585759653</c:v>
                </c:pt>
                <c:pt idx="11">
                  <c:v>4.5191575230462862</c:v>
                </c:pt>
                <c:pt idx="12">
                  <c:v>4.1073178398605581</c:v>
                </c:pt>
                <c:pt idx="13">
                  <c:v>3.8960633990481131</c:v>
                </c:pt>
                <c:pt idx="14">
                  <c:v>3.6693972983850145</c:v>
                </c:pt>
                <c:pt idx="15">
                  <c:v>3.5827331682899435</c:v>
                </c:pt>
                <c:pt idx="16">
                  <c:v>3.5253630659022521</c:v>
                </c:pt>
                <c:pt idx="17">
                  <c:v>3.4580195422236546</c:v>
                </c:pt>
                <c:pt idx="18">
                  <c:v>3.3571976105272503</c:v>
                </c:pt>
                <c:pt idx="19">
                  <c:v>3.4295791568861032</c:v>
                </c:pt>
                <c:pt idx="20">
                  <c:v>3.5275276014072006</c:v>
                </c:pt>
                <c:pt idx="21">
                  <c:v>3.3526608956888819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04-4C81-8AB6-CE15A512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70976"/>
        <c:axId val="1236279616"/>
      </c:scatterChart>
      <c:valAx>
        <c:axId val="123627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9616"/>
        <c:crosses val="autoZero"/>
        <c:crossBetween val="midCat"/>
      </c:valAx>
      <c:valAx>
        <c:axId val="12362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LLC_AnaVs.Sim!$E$7:$E$28</c:f>
              <c:numCache>
                <c:formatCode>0.0000</c:formatCode>
                <c:ptCount val="22"/>
                <c:pt idx="0">
                  <c:v>2.555205411695541E-3</c:v>
                </c:pt>
                <c:pt idx="1">
                  <c:v>5.8407446021116523E-3</c:v>
                </c:pt>
                <c:pt idx="2">
                  <c:v>1.1498650707639233E-2</c:v>
                </c:pt>
                <c:pt idx="3">
                  <c:v>2.7248837783991332E-2</c:v>
                </c:pt>
                <c:pt idx="4">
                  <c:v>1</c:v>
                </c:pt>
                <c:pt idx="5">
                  <c:v>3.3430484923306032E-2</c:v>
                </c:pt>
                <c:pt idx="6">
                  <c:v>1.7883832451490923E-2</c:v>
                </c:pt>
                <c:pt idx="7">
                  <c:v>1.2578813145603961E-2</c:v>
                </c:pt>
                <c:pt idx="8">
                  <c:v>8.1766812771707099E-3</c:v>
                </c:pt>
                <c:pt idx="9">
                  <c:v>6.1841574991892872E-3</c:v>
                </c:pt>
                <c:pt idx="10">
                  <c:v>4.2477610340039421E-3</c:v>
                </c:pt>
                <c:pt idx="11">
                  <c:v>3.2707924448438443E-3</c:v>
                </c:pt>
                <c:pt idx="12">
                  <c:v>2.6712527215601101E-3</c:v>
                </c:pt>
                <c:pt idx="13">
                  <c:v>2.2624146573691052E-3</c:v>
                </c:pt>
                <c:pt idx="14">
                  <c:v>1.9644493107576835E-3</c:v>
                </c:pt>
                <c:pt idx="15">
                  <c:v>1.7370549080134667E-3</c:v>
                </c:pt>
                <c:pt idx="16">
                  <c:v>1.557529254005183E-3</c:v>
                </c:pt>
                <c:pt idx="17">
                  <c:v>1.4120461873722628E-3</c:v>
                </c:pt>
                <c:pt idx="18">
                  <c:v>1.2916769993643463E-3</c:v>
                </c:pt>
                <c:pt idx="19">
                  <c:v>1.1903857577924687E-3</c:v>
                </c:pt>
                <c:pt idx="20">
                  <c:v>1.1039392372269655E-3</c:v>
                </c:pt>
                <c:pt idx="21">
                  <c:v>1.0292773303409912E-3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3-4243-85B0-72DCA80FEBB7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LLC_AnaVs.Sim!$D$7:$D$28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LLC_AnaVs.Sim!$F$7:$F$28</c:f>
              <c:numCache>
                <c:formatCode>General</c:formatCode>
                <c:ptCount val="22"/>
                <c:pt idx="0">
                  <c:v>0.19989999999999999</c:v>
                </c:pt>
                <c:pt idx="1">
                  <c:v>1.2500000000000001E-2</c:v>
                </c:pt>
                <c:pt idx="2">
                  <c:v>1.2500000000000001E-2</c:v>
                </c:pt>
                <c:pt idx="3">
                  <c:v>2.7799999999999998E-2</c:v>
                </c:pt>
                <c:pt idx="4">
                  <c:v>0.99970000000000003</c:v>
                </c:pt>
                <c:pt idx="5">
                  <c:v>3.3099999999999997E-2</c:v>
                </c:pt>
                <c:pt idx="6">
                  <c:v>1.7600000000000001E-2</c:v>
                </c:pt>
                <c:pt idx="7">
                  <c:v>1.23E-2</c:v>
                </c:pt>
                <c:pt idx="8">
                  <c:v>8.0000000000000002E-3</c:v>
                </c:pt>
                <c:pt idx="9">
                  <c:v>6.0000000000000001E-3</c:v>
                </c:pt>
                <c:pt idx="10">
                  <c:v>4.1000000000000003E-3</c:v>
                </c:pt>
                <c:pt idx="11">
                  <c:v>3.2000000000000002E-3</c:v>
                </c:pt>
                <c:pt idx="12">
                  <c:v>2.5999999999999999E-3</c:v>
                </c:pt>
                <c:pt idx="13">
                  <c:v>2.2000000000000001E-3</c:v>
                </c:pt>
                <c:pt idx="14">
                  <c:v>1.9E-3</c:v>
                </c:pt>
                <c:pt idx="15">
                  <c:v>1.6999999999999999E-3</c:v>
                </c:pt>
                <c:pt idx="16">
                  <c:v>1.5E-3</c:v>
                </c:pt>
                <c:pt idx="17">
                  <c:v>1.4E-3</c:v>
                </c:pt>
                <c:pt idx="18">
                  <c:v>1.2999999999999999E-3</c:v>
                </c:pt>
                <c:pt idx="19">
                  <c:v>1.1999999999999999E-3</c:v>
                </c:pt>
                <c:pt idx="20">
                  <c:v>1.1000000000000001E-3</c:v>
                </c:pt>
                <c:pt idx="21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33-4243-85B0-72DCA80FE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LLC_AnaVs.Sim!$O$7:$O$28</c:f>
              <c:numCache>
                <c:formatCode>0.0000</c:formatCode>
                <c:ptCount val="22"/>
                <c:pt idx="0">
                  <c:v>0.11493596294754066</c:v>
                </c:pt>
                <c:pt idx="1">
                  <c:v>0.29200611426709605</c:v>
                </c:pt>
                <c:pt idx="2">
                  <c:v>0.53913040195125816</c:v>
                </c:pt>
                <c:pt idx="3">
                  <c:v>0.86839643144553058</c:v>
                </c:pt>
                <c:pt idx="4">
                  <c:v>1</c:v>
                </c:pt>
                <c:pt idx="5">
                  <c:v>0.82104765235136867</c:v>
                </c:pt>
                <c:pt idx="6">
                  <c:v>0.63813586424145896</c:v>
                </c:pt>
                <c:pt idx="7">
                  <c:v>0.51392856473864756</c:v>
                </c:pt>
                <c:pt idx="8">
                  <c:v>0.36999524030383962</c:v>
                </c:pt>
                <c:pt idx="9">
                  <c:v>0.29090744756689185</c:v>
                </c:pt>
                <c:pt idx="10">
                  <c:v>0.20601428772975031</c:v>
                </c:pt>
                <c:pt idx="11">
                  <c:v>0.16054142595539908</c:v>
                </c:pt>
                <c:pt idx="12">
                  <c:v>0.13190397170310333</c:v>
                </c:pt>
                <c:pt idx="13">
                  <c:v>0.11210385240757291</c:v>
                </c:pt>
                <c:pt idx="14">
                  <c:v>9.7552902857780302E-2</c:v>
                </c:pt>
                <c:pt idx="15">
                  <c:v>8.6387999462353815E-2</c:v>
                </c:pt>
                <c:pt idx="16">
                  <c:v>7.7540496936360781E-2</c:v>
                </c:pt>
                <c:pt idx="17">
                  <c:v>7.035145328871209E-2</c:v>
                </c:pt>
                <c:pt idx="18">
                  <c:v>6.4391534111358478E-2</c:v>
                </c:pt>
                <c:pt idx="19">
                  <c:v>5.9368578436052623E-2</c:v>
                </c:pt>
                <c:pt idx="20">
                  <c:v>5.5076644683948628E-2</c:v>
                </c:pt>
                <c:pt idx="21">
                  <c:v>5.1366272465157375E-2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D-493B-8139-D4E6BDC587D2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LLC_AnaVs.Sim!$N$7:$N$28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LLC_AnaVs.Sim!$P$7:$P$28</c:f>
              <c:numCache>
                <c:formatCode>General</c:formatCode>
                <c:ptCount val="22"/>
                <c:pt idx="0">
                  <c:v>0.31209999999999999</c:v>
                </c:pt>
                <c:pt idx="1">
                  <c:v>0.37490000000000001</c:v>
                </c:pt>
                <c:pt idx="2">
                  <c:v>0.62250000000000005</c:v>
                </c:pt>
                <c:pt idx="3">
                  <c:v>1.0118</c:v>
                </c:pt>
                <c:pt idx="4">
                  <c:v>1</c:v>
                </c:pt>
                <c:pt idx="5">
                  <c:v>0.77110000000000001</c:v>
                </c:pt>
                <c:pt idx="6">
                  <c:v>0.58609999999999995</c:v>
                </c:pt>
                <c:pt idx="7">
                  <c:v>0.47220000000000001</c:v>
                </c:pt>
                <c:pt idx="8">
                  <c:v>0.34399999999999997</c:v>
                </c:pt>
                <c:pt idx="9">
                  <c:v>0.2732</c:v>
                </c:pt>
                <c:pt idx="10">
                  <c:v>0.19589999999999999</c:v>
                </c:pt>
                <c:pt idx="11">
                  <c:v>0.15359999999999999</c:v>
                </c:pt>
                <c:pt idx="12">
                  <c:v>0.12670000000000001</c:v>
                </c:pt>
                <c:pt idx="13">
                  <c:v>0.1079</c:v>
                </c:pt>
                <c:pt idx="14">
                  <c:v>9.4100000000000003E-2</c:v>
                </c:pt>
                <c:pt idx="15">
                  <c:v>8.3400000000000002E-2</c:v>
                </c:pt>
                <c:pt idx="16">
                  <c:v>7.4899999999999994E-2</c:v>
                </c:pt>
                <c:pt idx="17">
                  <c:v>6.8000000000000005E-2</c:v>
                </c:pt>
                <c:pt idx="18">
                  <c:v>6.2300000000000001E-2</c:v>
                </c:pt>
                <c:pt idx="19">
                  <c:v>5.74E-2</c:v>
                </c:pt>
                <c:pt idx="20">
                  <c:v>5.3199999999999997E-2</c:v>
                </c:pt>
                <c:pt idx="21">
                  <c:v>4.9700000000000001E-2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3D-493B-8139-D4E6BDC5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%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LLC_AnaVs.Sim!$G$7:$G$28</c:f>
              <c:numCache>
                <c:formatCode>0.0000</c:formatCode>
                <c:ptCount val="22"/>
                <c:pt idx="0">
                  <c:v>98.721758173238854</c:v>
                </c:pt>
                <c:pt idx="1">
                  <c:v>53.274043183106784</c:v>
                </c:pt>
                <c:pt idx="2">
                  <c:v>8.0107943388861411</c:v>
                </c:pt>
                <c:pt idx="3">
                  <c:v>1.9825978993117508</c:v>
                </c:pt>
                <c:pt idx="4">
                  <c:v>3.0009002700806937E-2</c:v>
                </c:pt>
                <c:pt idx="5">
                  <c:v>0.99844387705750681</c:v>
                </c:pt>
                <c:pt idx="6">
                  <c:v>1.6126843834711491</c:v>
                </c:pt>
                <c:pt idx="7">
                  <c:v>2.2667735414956134</c:v>
                </c:pt>
                <c:pt idx="8">
                  <c:v>2.2085159646338712</c:v>
                </c:pt>
                <c:pt idx="9">
                  <c:v>3.0692916531547838</c:v>
                </c:pt>
                <c:pt idx="10">
                  <c:v>3.6039276586327254</c:v>
                </c:pt>
                <c:pt idx="11">
                  <c:v>2.2122639013701288</c:v>
                </c:pt>
                <c:pt idx="12">
                  <c:v>2.7404892907734699</c:v>
                </c:pt>
                <c:pt idx="13">
                  <c:v>2.8370298804138687</c:v>
                </c:pt>
                <c:pt idx="14">
                  <c:v>3.392068987246502</c:v>
                </c:pt>
                <c:pt idx="15">
                  <c:v>2.1797004713804022</c:v>
                </c:pt>
                <c:pt idx="16">
                  <c:v>3.8352836003455297</c:v>
                </c:pt>
                <c:pt idx="17">
                  <c:v>0.86044195516162991</c:v>
                </c:pt>
                <c:pt idx="18">
                  <c:v>0.64023081812720051</c:v>
                </c:pt>
                <c:pt idx="19">
                  <c:v>0.80118685062759831</c:v>
                </c:pt>
                <c:pt idx="20">
                  <c:v>0.35811247517867251</c:v>
                </c:pt>
                <c:pt idx="21">
                  <c:v>2.9277330340991186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DB-4202-80C1-53B2FB37D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038784"/>
        <c:axId val="1017039264"/>
      </c:scatterChart>
      <c:valAx>
        <c:axId val="101703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39264"/>
        <c:crosses val="autoZero"/>
        <c:crossBetween val="midCat"/>
      </c:valAx>
      <c:valAx>
        <c:axId val="10170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3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%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</c:numCache>
            </c:numRef>
          </c:xVal>
          <c:yVal>
            <c:numRef>
              <c:f>LLC_AnaVs.Sim!$Q$7:$Q$28</c:f>
              <c:numCache>
                <c:formatCode>0.0000</c:formatCode>
                <c:ptCount val="22"/>
                <c:pt idx="0">
                  <c:v>63.173353749586461</c:v>
                </c:pt>
                <c:pt idx="1">
                  <c:v>22.110932444092811</c:v>
                </c:pt>
                <c:pt idx="2">
                  <c:v>13.392706513854117</c:v>
                </c:pt>
                <c:pt idx="3">
                  <c:v>14.173114108961203</c:v>
                </c:pt>
                <c:pt idx="4">
                  <c:v>0</c:v>
                </c:pt>
                <c:pt idx="5">
                  <c:v>6.4774545910217434</c:v>
                </c:pt>
                <c:pt idx="6">
                  <c:v>8.8783252416753129</c:v>
                </c:pt>
                <c:pt idx="7">
                  <c:v>8.8370531000947814</c:v>
                </c:pt>
                <c:pt idx="8">
                  <c:v>7.5567559022789696</c:v>
                </c:pt>
                <c:pt idx="9">
                  <c:v>6.4814961811463592</c:v>
                </c:pt>
                <c:pt idx="10">
                  <c:v>5.1629850585759653</c:v>
                </c:pt>
                <c:pt idx="11">
                  <c:v>4.5191575230462862</c:v>
                </c:pt>
                <c:pt idx="12">
                  <c:v>4.1073178398605581</c:v>
                </c:pt>
                <c:pt idx="13">
                  <c:v>3.8960633990481131</c:v>
                </c:pt>
                <c:pt idx="14">
                  <c:v>3.6693972983850145</c:v>
                </c:pt>
                <c:pt idx="15">
                  <c:v>3.5827331682899435</c:v>
                </c:pt>
                <c:pt idx="16">
                  <c:v>3.5253630659022521</c:v>
                </c:pt>
                <c:pt idx="17">
                  <c:v>3.4580195422236546</c:v>
                </c:pt>
                <c:pt idx="18">
                  <c:v>3.3571976105272503</c:v>
                </c:pt>
                <c:pt idx="19">
                  <c:v>3.4295791568861032</c:v>
                </c:pt>
                <c:pt idx="20">
                  <c:v>3.5275276014072006</c:v>
                </c:pt>
                <c:pt idx="21">
                  <c:v>3.3526608956888819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63-4B6E-A439-0BFA28070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70976"/>
        <c:axId val="1236279616"/>
      </c:scatterChart>
      <c:valAx>
        <c:axId val="123627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9616"/>
        <c:crosses val="autoZero"/>
        <c:crossBetween val="midCat"/>
      </c:valAx>
      <c:valAx>
        <c:axId val="12362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14</xdr:row>
      <xdr:rowOff>11430</xdr:rowOff>
    </xdr:from>
    <xdr:to>
      <xdr:col>10</xdr:col>
      <xdr:colOff>411480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73B4F-0868-4D56-A514-D64FFA9C2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26</xdr:row>
      <xdr:rowOff>133350</xdr:rowOff>
    </xdr:from>
    <xdr:to>
      <xdr:col>8</xdr:col>
      <xdr:colOff>601980</xdr:colOff>
      <xdr:row>38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73AFF4-264A-4F77-A519-F516F7A08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165232</xdr:colOff>
      <xdr:row>30</xdr:row>
      <xdr:rowOff>171136</xdr:rowOff>
    </xdr:from>
    <xdr:to>
      <xdr:col>10</xdr:col>
      <xdr:colOff>166271</xdr:colOff>
      <xdr:row>45</xdr:row>
      <xdr:rowOff>160481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DA07DD-27B5-4537-8D02-DFC5B8437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43668</xdr:colOff>
      <xdr:row>31</xdr:row>
      <xdr:rowOff>34458</xdr:rowOff>
    </xdr:from>
    <xdr:to>
      <xdr:col>19</xdr:col>
      <xdr:colOff>291016</xdr:colOff>
      <xdr:row>46</xdr:row>
      <xdr:rowOff>19720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701B91-5C6A-48C2-9774-5B4CD2CD7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202222</xdr:colOff>
      <xdr:row>61</xdr:row>
      <xdr:rowOff>29308</xdr:rowOff>
    </xdr:from>
    <xdr:to>
      <xdr:col>10</xdr:col>
      <xdr:colOff>282391</xdr:colOff>
      <xdr:row>76</xdr:row>
      <xdr:rowOff>46893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5BD-40E8-4B2E-9002-9AC9CECB4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247963</xdr:colOff>
      <xdr:row>31</xdr:row>
      <xdr:rowOff>146099</xdr:rowOff>
    </xdr:from>
    <xdr:to>
      <xdr:col>8</xdr:col>
      <xdr:colOff>782186</xdr:colOff>
      <xdr:row>46</xdr:row>
      <xdr:rowOff>131090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DFF095-EC45-4793-A34B-6A87B1B13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671773</xdr:colOff>
      <xdr:row>43</xdr:row>
      <xdr:rowOff>177060</xdr:rowOff>
    </xdr:from>
    <xdr:to>
      <xdr:col>19</xdr:col>
      <xdr:colOff>313368</xdr:colOff>
      <xdr:row>58</xdr:row>
      <xdr:rowOff>163411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64955D-65FC-4977-934F-7128B4658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181539</xdr:colOff>
      <xdr:row>56</xdr:row>
      <xdr:rowOff>162114</xdr:rowOff>
    </xdr:from>
    <xdr:to>
      <xdr:col>8</xdr:col>
      <xdr:colOff>717939</xdr:colOff>
      <xdr:row>71</xdr:row>
      <xdr:rowOff>175344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209333-8EC1-45E6-8BB7-903673FE8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397565</xdr:colOff>
      <xdr:row>21</xdr:row>
      <xdr:rowOff>76200</xdr:rowOff>
    </xdr:from>
    <xdr:to>
      <xdr:col>24</xdr:col>
      <xdr:colOff>563217</xdr:colOff>
      <xdr:row>36</xdr:row>
      <xdr:rowOff>36444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A3F60-8440-4315-ADD3-5EFB80D0F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165232</xdr:colOff>
      <xdr:row>30</xdr:row>
      <xdr:rowOff>171136</xdr:rowOff>
    </xdr:from>
    <xdr:to>
      <xdr:col>10</xdr:col>
      <xdr:colOff>166271</xdr:colOff>
      <xdr:row>45</xdr:row>
      <xdr:rowOff>160481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34DA7-6756-499A-A377-AE0155CD4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43668</xdr:colOff>
      <xdr:row>31</xdr:row>
      <xdr:rowOff>34458</xdr:rowOff>
    </xdr:from>
    <xdr:to>
      <xdr:col>19</xdr:col>
      <xdr:colOff>291016</xdr:colOff>
      <xdr:row>46</xdr:row>
      <xdr:rowOff>19720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5C0FFB-CD1F-428D-8562-60D9E6B02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935841</xdr:colOff>
      <xdr:row>48</xdr:row>
      <xdr:rowOff>102703</xdr:rowOff>
    </xdr:from>
    <xdr:to>
      <xdr:col>6</xdr:col>
      <xdr:colOff>750169</xdr:colOff>
      <xdr:row>63</xdr:row>
      <xdr:rowOff>74968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905D6A-2EDE-EC70-96AC-15D02A413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335824</xdr:colOff>
      <xdr:row>47</xdr:row>
      <xdr:rowOff>59871</xdr:rowOff>
    </xdr:from>
    <xdr:to>
      <xdr:col>17</xdr:col>
      <xdr:colOff>542652</xdr:colOff>
      <xdr:row>62</xdr:row>
      <xdr:rowOff>25037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1440F3-EF00-F7E8-6DC7-709785199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165232</xdr:colOff>
      <xdr:row>30</xdr:row>
      <xdr:rowOff>171136</xdr:rowOff>
    </xdr:from>
    <xdr:to>
      <xdr:col>10</xdr:col>
      <xdr:colOff>166271</xdr:colOff>
      <xdr:row>45</xdr:row>
      <xdr:rowOff>160481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B8147-EA66-4433-B256-6B4B8CCA5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43668</xdr:colOff>
      <xdr:row>31</xdr:row>
      <xdr:rowOff>34458</xdr:rowOff>
    </xdr:from>
    <xdr:to>
      <xdr:col>19</xdr:col>
      <xdr:colOff>291016</xdr:colOff>
      <xdr:row>46</xdr:row>
      <xdr:rowOff>19720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D07F1-29E0-4812-9EA5-51631CA0B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935841</xdr:colOff>
      <xdr:row>48</xdr:row>
      <xdr:rowOff>102703</xdr:rowOff>
    </xdr:from>
    <xdr:to>
      <xdr:col>6</xdr:col>
      <xdr:colOff>750169</xdr:colOff>
      <xdr:row>63</xdr:row>
      <xdr:rowOff>74968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8507B-148A-420A-8D10-AB05DB43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335824</xdr:colOff>
      <xdr:row>47</xdr:row>
      <xdr:rowOff>59871</xdr:rowOff>
    </xdr:from>
    <xdr:to>
      <xdr:col>17</xdr:col>
      <xdr:colOff>542652</xdr:colOff>
      <xdr:row>62</xdr:row>
      <xdr:rowOff>25037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434C1D-82DF-448E-9B80-6BD50B847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.Tech%203rd%20Sem\MTP_Design%20and%20Development%20of%20LLC%20Resonant%20Converter%20for%20EV%20Charging\MTP_MyMaterial\Vo_at_diff_Q.xlsx" TargetMode="External"/><Relationship Id="rId1" Type="http://schemas.openxmlformats.org/officeDocument/2006/relationships/externalLinkPath" Target="Vo_at_diff_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ferent_Q_SRC"/>
      <sheetName val="Different_R_SRC,PRC"/>
      <sheetName val="SRC_AnaVs.Sim"/>
      <sheetName val="PRC_AnaVs.Sim"/>
    </sheetNames>
    <sheetDataSet>
      <sheetData sheetId="0"/>
      <sheetData sheetId="1">
        <row r="6">
          <cell r="G6">
            <v>13.214099964226772</v>
          </cell>
          <cell r="J6">
            <v>5.0387074781345405</v>
          </cell>
        </row>
        <row r="7">
          <cell r="G7">
            <v>2.6428199928453546</v>
          </cell>
          <cell r="J7">
            <v>24.459369525450281</v>
          </cell>
        </row>
        <row r="8">
          <cell r="G8">
            <v>1.3214099964226773</v>
          </cell>
          <cell r="J8">
            <v>45.043309242419667</v>
          </cell>
        </row>
        <row r="9">
          <cell r="G9">
            <v>0.52856399856907088</v>
          </cell>
          <cell r="J9">
            <v>78.359588728811602</v>
          </cell>
        </row>
        <row r="10">
          <cell r="G10">
            <v>0.26428199928453544</v>
          </cell>
          <cell r="J10">
            <v>92.961890287054246</v>
          </cell>
        </row>
        <row r="11">
          <cell r="G11">
            <v>0.13214099964226772</v>
          </cell>
          <cell r="J11">
            <v>98.091660352836684</v>
          </cell>
        </row>
        <row r="12">
          <cell r="G12">
            <v>8.8093999761511818E-2</v>
          </cell>
          <cell r="J12">
            <v>99.138207506854243</v>
          </cell>
        </row>
        <row r="13">
          <cell r="G13">
            <v>5.2856399856907092E-2</v>
          </cell>
          <cell r="J13">
            <v>99.687171681997569</v>
          </cell>
        </row>
      </sheetData>
      <sheetData sheetId="2">
        <row r="7">
          <cell r="D7">
            <v>5</v>
          </cell>
          <cell r="H7">
            <v>1598.0006250000001</v>
          </cell>
        </row>
        <row r="8">
          <cell r="D8">
            <v>10</v>
          </cell>
          <cell r="H8">
            <v>398.0025</v>
          </cell>
        </row>
        <row r="9">
          <cell r="D9">
            <v>20</v>
          </cell>
          <cell r="H9">
            <v>98.01</v>
          </cell>
        </row>
        <row r="10">
          <cell r="D10">
            <v>40</v>
          </cell>
          <cell r="H10">
            <v>23.04</v>
          </cell>
        </row>
        <row r="11">
          <cell r="D11">
            <v>60</v>
          </cell>
          <cell r="H11">
            <v>9.2011111111111124</v>
          </cell>
        </row>
        <row r="12">
          <cell r="D12">
            <v>80</v>
          </cell>
          <cell r="H12">
            <v>4.41</v>
          </cell>
        </row>
        <row r="13">
          <cell r="D13">
            <v>100</v>
          </cell>
          <cell r="H13">
            <v>2.25</v>
          </cell>
        </row>
        <row r="14">
          <cell r="D14">
            <v>120</v>
          </cell>
          <cell r="H14">
            <v>1.1377777777777782</v>
          </cell>
        </row>
        <row r="15">
          <cell r="D15">
            <v>140</v>
          </cell>
          <cell r="H15">
            <v>0.53081632653061239</v>
          </cell>
        </row>
        <row r="16">
          <cell r="D16">
            <v>160</v>
          </cell>
          <cell r="H16">
            <v>0.20249999999999996</v>
          </cell>
        </row>
        <row r="17">
          <cell r="D17">
            <v>180</v>
          </cell>
          <cell r="H17">
            <v>4.4567901234567914E-2</v>
          </cell>
        </row>
        <row r="18">
          <cell r="D18">
            <v>200</v>
          </cell>
          <cell r="H18">
            <v>0</v>
          </cell>
        </row>
        <row r="19">
          <cell r="D19">
            <v>220</v>
          </cell>
          <cell r="H19">
            <v>3.644628099173558E-2</v>
          </cell>
        </row>
        <row r="20">
          <cell r="D20">
            <v>240</v>
          </cell>
          <cell r="H20">
            <v>0.13444444444444439</v>
          </cell>
        </row>
        <row r="21">
          <cell r="D21">
            <v>260</v>
          </cell>
          <cell r="H21">
            <v>0.28171597633136097</v>
          </cell>
        </row>
        <row r="22">
          <cell r="D22">
            <v>280</v>
          </cell>
          <cell r="H22">
            <v>0.47020408163265293</v>
          </cell>
        </row>
        <row r="23">
          <cell r="D23">
            <v>300</v>
          </cell>
          <cell r="H23">
            <v>0.69444444444444453</v>
          </cell>
        </row>
        <row r="24">
          <cell r="D24">
            <v>320</v>
          </cell>
          <cell r="H24">
            <v>0.95062500000000016</v>
          </cell>
        </row>
        <row r="25">
          <cell r="D25">
            <v>340</v>
          </cell>
          <cell r="H25">
            <v>1.2360207612456748</v>
          </cell>
        </row>
        <row r="26">
          <cell r="D26">
            <v>360</v>
          </cell>
          <cell r="H26">
            <v>1.548641975308642</v>
          </cell>
        </row>
        <row r="27">
          <cell r="D27">
            <v>380</v>
          </cell>
          <cell r="H27">
            <v>1.8870083102493076</v>
          </cell>
        </row>
        <row r="28">
          <cell r="D28">
            <v>400</v>
          </cell>
          <cell r="H28">
            <v>2.25</v>
          </cell>
        </row>
      </sheetData>
      <sheetData sheetId="3">
        <row r="7">
          <cell r="D7">
            <v>5</v>
          </cell>
          <cell r="H7">
            <v>0.99875039062500004</v>
          </cell>
        </row>
        <row r="8">
          <cell r="D8">
            <v>10</v>
          </cell>
          <cell r="H8">
            <v>0.99500625000000009</v>
          </cell>
        </row>
        <row r="9">
          <cell r="D9">
            <v>20</v>
          </cell>
          <cell r="H9">
            <v>0.98009999999999997</v>
          </cell>
        </row>
        <row r="10">
          <cell r="D10">
            <v>40</v>
          </cell>
          <cell r="H10">
            <v>0.92159999999999997</v>
          </cell>
        </row>
        <row r="11">
          <cell r="D11">
            <v>60</v>
          </cell>
          <cell r="H11">
            <v>0.82810000000000006</v>
          </cell>
        </row>
        <row r="12">
          <cell r="D12">
            <v>80</v>
          </cell>
          <cell r="H12">
            <v>0.70559999999999989</v>
          </cell>
        </row>
        <row r="13">
          <cell r="D13">
            <v>100</v>
          </cell>
          <cell r="H13">
            <v>0.5625</v>
          </cell>
        </row>
        <row r="14">
          <cell r="D14">
            <v>120</v>
          </cell>
          <cell r="H14">
            <v>0.40960000000000002</v>
          </cell>
        </row>
        <row r="15">
          <cell r="D15">
            <v>140</v>
          </cell>
          <cell r="H15">
            <v>0.2601</v>
          </cell>
        </row>
        <row r="16">
          <cell r="D16">
            <v>160</v>
          </cell>
          <cell r="H16">
            <v>0.12959999999999991</v>
          </cell>
        </row>
        <row r="17">
          <cell r="D17">
            <v>180</v>
          </cell>
          <cell r="H17">
            <v>3.6099999999999979E-2</v>
          </cell>
        </row>
        <row r="18">
          <cell r="D18">
            <v>200</v>
          </cell>
          <cell r="H18">
            <v>0</v>
          </cell>
        </row>
        <row r="19">
          <cell r="D19">
            <v>220</v>
          </cell>
          <cell r="H19">
            <v>4.4100000000000077E-2</v>
          </cell>
        </row>
        <row r="20">
          <cell r="D20">
            <v>240</v>
          </cell>
          <cell r="H20">
            <v>0.19359999999999997</v>
          </cell>
        </row>
        <row r="21">
          <cell r="D21">
            <v>260</v>
          </cell>
          <cell r="H21">
            <v>0.47610000000000025</v>
          </cell>
        </row>
        <row r="22">
          <cell r="D22">
            <v>280</v>
          </cell>
          <cell r="H22">
            <v>0.92159999999999953</v>
          </cell>
        </row>
        <row r="23">
          <cell r="D23">
            <v>300</v>
          </cell>
          <cell r="H23">
            <v>1.5625</v>
          </cell>
        </row>
        <row r="24">
          <cell r="D24">
            <v>320</v>
          </cell>
          <cell r="H24">
            <v>2.4336000000000015</v>
          </cell>
        </row>
        <row r="25">
          <cell r="D25">
            <v>340</v>
          </cell>
          <cell r="H25">
            <v>3.5720999999999989</v>
          </cell>
        </row>
        <row r="26">
          <cell r="D26">
            <v>360</v>
          </cell>
          <cell r="H26">
            <v>5.0176000000000007</v>
          </cell>
        </row>
        <row r="27">
          <cell r="D27">
            <v>380</v>
          </cell>
          <cell r="H27">
            <v>6.8120999999999992</v>
          </cell>
        </row>
        <row r="28">
          <cell r="D28">
            <v>400</v>
          </cell>
          <cell r="H28">
            <v>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opLeftCell="A4" workbookViewId="0">
      <selection activeCell="E2" sqref="E2"/>
    </sheetView>
  </sheetViews>
  <sheetFormatPr defaultColWidth="8.88671875" defaultRowHeight="18" x14ac:dyDescent="0.3"/>
  <cols>
    <col min="1" max="1" width="8.88671875" style="1"/>
    <col min="2" max="2" width="12.77734375" style="1" bestFit="1" customWidth="1"/>
    <col min="3" max="3" width="8.88671875" style="1"/>
    <col min="4" max="4" width="10.6640625" style="1" bestFit="1" customWidth="1"/>
    <col min="5" max="5" width="8.88671875" style="1"/>
    <col min="6" max="6" width="10" style="1" bestFit="1" customWidth="1"/>
    <col min="7" max="7" width="10.77734375" style="1" bestFit="1" customWidth="1"/>
    <col min="8" max="8" width="18.6640625" style="1" bestFit="1" customWidth="1"/>
    <col min="9" max="9" width="18.21875" style="1" bestFit="1" customWidth="1"/>
    <col min="10" max="12" width="8.88671875" style="1"/>
    <col min="13" max="13" width="9" style="1" bestFit="1" customWidth="1"/>
    <col min="14" max="14" width="11.88671875" style="1" bestFit="1" customWidth="1"/>
    <col min="15" max="15" width="18.6640625" style="1" bestFit="1" customWidth="1"/>
    <col min="16" max="16" width="17.6640625" style="1" bestFit="1" customWidth="1"/>
    <col min="17" max="16384" width="8.88671875" style="1"/>
  </cols>
  <sheetData>
    <row r="1" spans="1:17" ht="33.6" x14ac:dyDescent="0.3">
      <c r="G1" s="76" t="s">
        <v>0</v>
      </c>
      <c r="H1" s="77"/>
      <c r="I1" s="77"/>
      <c r="J1" s="77"/>
      <c r="K1" s="78"/>
    </row>
    <row r="4" spans="1:17" x14ac:dyDescent="0.3">
      <c r="A4" s="2" t="s">
        <v>1</v>
      </c>
      <c r="B4" s="3">
        <v>25000</v>
      </c>
      <c r="E4" s="79" t="s">
        <v>2</v>
      </c>
      <c r="F4" s="80"/>
      <c r="G4" s="80"/>
      <c r="H4" s="80"/>
      <c r="I4" s="80"/>
      <c r="J4" s="81"/>
      <c r="L4" s="79" t="s">
        <v>3</v>
      </c>
      <c r="M4" s="80"/>
      <c r="N4" s="80"/>
      <c r="O4" s="80"/>
      <c r="P4" s="80"/>
      <c r="Q4" s="81"/>
    </row>
    <row r="5" spans="1:17" x14ac:dyDescent="0.3">
      <c r="A5" s="4" t="s">
        <v>4</v>
      </c>
      <c r="B5" s="5">
        <v>30000</v>
      </c>
      <c r="E5" s="6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8" t="s">
        <v>10</v>
      </c>
      <c r="L5" s="6" t="s">
        <v>5</v>
      </c>
      <c r="M5" s="7" t="s">
        <v>6</v>
      </c>
      <c r="N5" s="7" t="s">
        <v>7</v>
      </c>
      <c r="O5" s="7" t="s">
        <v>8</v>
      </c>
      <c r="P5" s="7" t="s">
        <v>11</v>
      </c>
      <c r="Q5" s="8" t="s">
        <v>10</v>
      </c>
    </row>
    <row r="6" spans="1:17" x14ac:dyDescent="0.3">
      <c r="D6" s="82" t="s">
        <v>12</v>
      </c>
      <c r="E6" s="9">
        <v>0.2</v>
      </c>
      <c r="F6" s="1">
        <f>8*E6/PI()^2</f>
        <v>0.16211389382774044</v>
      </c>
      <c r="G6" s="53">
        <f>(2*PI()*$B$4*$B$9)/F6</f>
        <v>81.529066638555847</v>
      </c>
      <c r="H6" s="10">
        <f xml:space="preserve"> 1/(SQRT(1 + G6^2 * ($B$5/$B$4 - $B$4/$B$5)^2))</f>
        <v>3.3432838159243194E-2</v>
      </c>
      <c r="I6" s="11"/>
      <c r="J6" s="12"/>
      <c r="L6" s="9">
        <v>0.2</v>
      </c>
      <c r="M6" s="1">
        <f>(L6*PI()^2)/8</f>
        <v>0.24674011002723395</v>
      </c>
      <c r="N6" s="13">
        <f>M6/(2*PI()*$B$4*$B$9)</f>
        <v>1.8668397789390515E-2</v>
      </c>
      <c r="O6" s="14"/>
      <c r="P6" s="11"/>
      <c r="Q6" s="15"/>
    </row>
    <row r="7" spans="1:17" x14ac:dyDescent="0.3">
      <c r="A7" s="1" t="s">
        <v>13</v>
      </c>
      <c r="B7" s="1">
        <f>B5/B4</f>
        <v>1.2</v>
      </c>
      <c r="D7" s="83"/>
      <c r="E7" s="9">
        <v>1</v>
      </c>
      <c r="F7" s="1">
        <f t="shared" ref="F7:F13" si="0">8*E7/PI()^2</f>
        <v>0.8105694691387022</v>
      </c>
      <c r="G7" s="16">
        <f>(2*PI()*$B$4*$B$9)/F7</f>
        <v>16.305813327711171</v>
      </c>
      <c r="H7" s="10">
        <f xml:space="preserve"> 1/(SQRT(1 + G7^2 * ($B$5/$B$4 - $B$4/$B$5)^2))</f>
        <v>0.1649661345606519</v>
      </c>
      <c r="I7" s="11"/>
      <c r="J7" s="15"/>
      <c r="L7" s="9">
        <v>1</v>
      </c>
      <c r="M7" s="1">
        <f t="shared" ref="M7:M12" si="1">(L7*PI()^2)/8</f>
        <v>1.2337005501361697</v>
      </c>
      <c r="N7" s="13">
        <f t="shared" ref="N7:N12" si="2">M7/(2*PI()*$B$4*$B$9)</f>
        <v>9.3341988946952573E-2</v>
      </c>
      <c r="O7" s="14"/>
      <c r="P7" s="11"/>
      <c r="Q7" s="15"/>
    </row>
    <row r="8" spans="1:17" x14ac:dyDescent="0.3">
      <c r="D8" s="83"/>
      <c r="E8" s="9">
        <v>2</v>
      </c>
      <c r="F8" s="1">
        <f t="shared" si="0"/>
        <v>1.6211389382774044</v>
      </c>
      <c r="G8" s="16">
        <f t="shared" ref="G8:G13" si="3">(2*PI()*$B$4*$B$9)/F8</f>
        <v>8.1529066638555854</v>
      </c>
      <c r="H8" s="10">
        <f t="shared" ref="H8:H12" si="4" xml:space="preserve"> 1/(SQRT(1 + G8^2 * ($B$5/$B$4 - $B$4/$B$5)^2))</f>
        <v>0.31723648390812237</v>
      </c>
      <c r="I8" s="11"/>
      <c r="J8" s="15"/>
      <c r="L8" s="9">
        <v>2</v>
      </c>
      <c r="M8" s="1">
        <f t="shared" si="1"/>
        <v>2.4674011002723395</v>
      </c>
      <c r="N8" s="13">
        <f t="shared" si="2"/>
        <v>0.18668397789390515</v>
      </c>
      <c r="O8" s="14"/>
      <c r="P8" s="11"/>
      <c r="Q8" s="15"/>
    </row>
    <row r="9" spans="1:17" x14ac:dyDescent="0.3">
      <c r="A9" s="2" t="s">
        <v>14</v>
      </c>
      <c r="B9" s="17">
        <v>8.4141999999999995E-5</v>
      </c>
      <c r="D9" s="83"/>
      <c r="E9" s="9">
        <v>5</v>
      </c>
      <c r="F9" s="1">
        <f t="shared" si="0"/>
        <v>4.052847345693511</v>
      </c>
      <c r="G9" s="16">
        <f t="shared" si="3"/>
        <v>3.2611626655422339</v>
      </c>
      <c r="H9" s="10">
        <f t="shared" si="4"/>
        <v>0.64152127081285726</v>
      </c>
      <c r="I9" s="11"/>
      <c r="J9" s="12"/>
      <c r="L9" s="9">
        <v>5</v>
      </c>
      <c r="M9" s="1">
        <f t="shared" si="1"/>
        <v>6.1685027506808492</v>
      </c>
      <c r="N9" s="13">
        <f t="shared" si="2"/>
        <v>0.4667099447347629</v>
      </c>
      <c r="O9" s="14"/>
      <c r="P9" s="11"/>
      <c r="Q9" s="15"/>
    </row>
    <row r="10" spans="1:17" x14ac:dyDescent="0.3">
      <c r="A10" s="4" t="s">
        <v>15</v>
      </c>
      <c r="B10" s="18">
        <v>4.8167E-7</v>
      </c>
      <c r="D10" s="84"/>
      <c r="E10" s="4">
        <v>10</v>
      </c>
      <c r="F10" s="19">
        <f t="shared" si="0"/>
        <v>8.105694691387022</v>
      </c>
      <c r="G10" s="20">
        <f t="shared" si="3"/>
        <v>1.6305813327711169</v>
      </c>
      <c r="H10" s="21">
        <f t="shared" si="4"/>
        <v>0.85829470714931955</v>
      </c>
      <c r="I10" s="22"/>
      <c r="J10" s="23"/>
      <c r="L10" s="9">
        <v>10</v>
      </c>
      <c r="M10" s="1">
        <f t="shared" si="1"/>
        <v>12.337005501361698</v>
      </c>
      <c r="N10" s="13">
        <f t="shared" si="2"/>
        <v>0.93341988946952581</v>
      </c>
      <c r="O10" s="14"/>
      <c r="P10" s="11"/>
      <c r="Q10" s="15"/>
    </row>
    <row r="11" spans="1:17" x14ac:dyDescent="0.3">
      <c r="D11" s="83" t="s">
        <v>16</v>
      </c>
      <c r="E11" s="9">
        <v>20</v>
      </c>
      <c r="F11" s="1">
        <f t="shared" si="0"/>
        <v>16.211389382774044</v>
      </c>
      <c r="G11" s="16">
        <f>(2*PI()*$B$4*$B$9)/F11</f>
        <v>0.81529066638555847</v>
      </c>
      <c r="H11" s="10">
        <f xml:space="preserve"> 1/(SQRT(1 + G11^2 * ($B$5/$B$4 - $B$4/$B$5)^2))</f>
        <v>0.95810537608530844</v>
      </c>
      <c r="I11" s="11"/>
      <c r="J11" s="12"/>
      <c r="L11" s="9">
        <v>20</v>
      </c>
      <c r="M11" s="1">
        <f t="shared" si="1"/>
        <v>24.674011002723397</v>
      </c>
      <c r="N11" s="13">
        <f t="shared" si="2"/>
        <v>1.8668397789390516</v>
      </c>
      <c r="O11" s="14"/>
      <c r="P11" s="11"/>
      <c r="Q11" s="15"/>
    </row>
    <row r="12" spans="1:17" x14ac:dyDescent="0.3">
      <c r="D12" s="83"/>
      <c r="E12" s="9">
        <v>30</v>
      </c>
      <c r="F12" s="1">
        <f t="shared" si="0"/>
        <v>24.317084074161066</v>
      </c>
      <c r="G12" s="16">
        <f t="shared" si="3"/>
        <v>0.54352711092370565</v>
      </c>
      <c r="H12" s="10">
        <f t="shared" si="4"/>
        <v>0.98071373689437658</v>
      </c>
      <c r="I12" s="11"/>
      <c r="J12" s="15"/>
      <c r="L12" s="4">
        <v>30</v>
      </c>
      <c r="M12" s="19">
        <f t="shared" si="1"/>
        <v>37.011016504085092</v>
      </c>
      <c r="N12" s="54">
        <f t="shared" si="2"/>
        <v>2.800259668408577</v>
      </c>
      <c r="O12" s="24"/>
      <c r="P12" s="22"/>
      <c r="Q12" s="23"/>
    </row>
    <row r="13" spans="1:17" x14ac:dyDescent="0.3">
      <c r="D13" s="84"/>
      <c r="E13" s="4">
        <v>0.1</v>
      </c>
      <c r="F13" s="19">
        <f t="shared" si="0"/>
        <v>8.105694691387022E-2</v>
      </c>
      <c r="G13" s="19">
        <f t="shared" si="3"/>
        <v>163.05813327711169</v>
      </c>
      <c r="H13" s="21">
        <f xml:space="preserve"> 1/(SQRT(1 + G13^2 * ($B$5/$B$4 - $B$4/$B$5)^2))</f>
        <v>1.6723430308942036E-2</v>
      </c>
      <c r="I13" s="22"/>
      <c r="J13" s="23"/>
      <c r="O13" s="14"/>
      <c r="P13" s="11"/>
    </row>
    <row r="14" spans="1:17" x14ac:dyDescent="0.3">
      <c r="H14" s="14"/>
      <c r="I14" s="11"/>
      <c r="L14" s="1" t="s">
        <v>5</v>
      </c>
      <c r="M14" s="1" t="s">
        <v>17</v>
      </c>
      <c r="N14" s="1" t="s">
        <v>18</v>
      </c>
      <c r="O14" s="14"/>
      <c r="P14" s="11"/>
    </row>
    <row r="15" spans="1:17" x14ac:dyDescent="0.3">
      <c r="L15" s="1">
        <v>20</v>
      </c>
      <c r="M15" s="1">
        <v>20000</v>
      </c>
      <c r="N15" s="16">
        <f xml:space="preserve"> 1/(SQRT(1 + $L$21^2 * (M15/$B$4 - $B$4/M15)^2))</f>
        <v>0.99823781490036012</v>
      </c>
    </row>
    <row r="16" spans="1:17" x14ac:dyDescent="0.3">
      <c r="M16" s="1">
        <v>40000</v>
      </c>
      <c r="N16" s="25">
        <f t="shared" ref="N16:N34" si="5" xml:space="preserve"> 1/(SQRT(1 + $L$21^2 * (M16/$B$4 - $B$4/M16)^2))</f>
        <v>0.99180739138167784</v>
      </c>
    </row>
    <row r="17" spans="12:14" x14ac:dyDescent="0.3">
      <c r="M17" s="1">
        <v>60000</v>
      </c>
      <c r="N17" s="16">
        <f xml:space="preserve"> 1/(SQRT(1 + $L$21^2 * (M17/$B$4 - $B$4/M17)^2))</f>
        <v>0.96735003476877146</v>
      </c>
    </row>
    <row r="18" spans="12:14" x14ac:dyDescent="0.3">
      <c r="M18" s="1">
        <v>80000</v>
      </c>
      <c r="N18" s="25">
        <f t="shared" si="5"/>
        <v>0.93433647317591417</v>
      </c>
    </row>
    <row r="19" spans="12:14" x14ac:dyDescent="0.3">
      <c r="M19" s="1">
        <v>100000</v>
      </c>
      <c r="N19" s="16">
        <f t="shared" si="5"/>
        <v>0.89607879175814686</v>
      </c>
    </row>
    <row r="20" spans="12:14" x14ac:dyDescent="0.3">
      <c r="L20" s="1" t="s">
        <v>7</v>
      </c>
      <c r="M20" s="1">
        <v>120000</v>
      </c>
      <c r="N20" s="25">
        <f t="shared" si="5"/>
        <v>0.85500882868702077</v>
      </c>
    </row>
    <row r="21" spans="12:14" x14ac:dyDescent="0.3">
      <c r="L21" s="1">
        <v>0.1321</v>
      </c>
      <c r="M21" s="1">
        <v>140000</v>
      </c>
      <c r="N21" s="16">
        <f t="shared" si="5"/>
        <v>0.81300799788475209</v>
      </c>
    </row>
    <row r="22" spans="12:14" x14ac:dyDescent="0.3">
      <c r="M22" s="1">
        <v>160000</v>
      </c>
      <c r="N22" s="25">
        <f t="shared" si="5"/>
        <v>0.77144924888783672</v>
      </c>
    </row>
    <row r="23" spans="12:14" x14ac:dyDescent="0.3">
      <c r="M23" s="1">
        <v>180000</v>
      </c>
      <c r="N23" s="16">
        <f t="shared" si="5"/>
        <v>0.7312597044320831</v>
      </c>
    </row>
    <row r="24" spans="12:14" x14ac:dyDescent="0.3">
      <c r="M24" s="1">
        <v>200000</v>
      </c>
      <c r="N24" s="25">
        <f t="shared" si="5"/>
        <v>0.69300916614719255</v>
      </c>
    </row>
    <row r="25" spans="12:14" x14ac:dyDescent="0.3">
      <c r="M25" s="1">
        <v>220000</v>
      </c>
      <c r="N25" s="16">
        <f t="shared" si="5"/>
        <v>0.65700182348414204</v>
      </c>
    </row>
    <row r="26" spans="12:14" x14ac:dyDescent="0.3">
      <c r="M26" s="1">
        <v>240000</v>
      </c>
      <c r="N26" s="25">
        <f xml:space="preserve"> 1/(SQRT(1 + $L$21^2 * (M26/$B$4 - $B$4/M26)^2))</f>
        <v>0.62335632194159096</v>
      </c>
    </row>
    <row r="27" spans="12:14" x14ac:dyDescent="0.3">
      <c r="M27" s="1">
        <v>260000</v>
      </c>
      <c r="N27" s="16">
        <f t="shared" si="5"/>
        <v>0.59206881604209205</v>
      </c>
    </row>
    <row r="28" spans="12:14" x14ac:dyDescent="0.3">
      <c r="M28" s="1">
        <v>280000</v>
      </c>
      <c r="N28" s="25">
        <f xml:space="preserve"> 1/(SQRT(1 + $L$21^2 * (M28/$B$4 - $B$4/M28)^2))</f>
        <v>0.56305933895092763</v>
      </c>
    </row>
    <row r="29" spans="12:14" x14ac:dyDescent="0.3">
      <c r="M29" s="1">
        <v>300000</v>
      </c>
      <c r="N29" s="16">
        <f t="shared" si="5"/>
        <v>0.53620425221651025</v>
      </c>
    </row>
    <row r="30" spans="12:14" x14ac:dyDescent="0.3">
      <c r="M30" s="1">
        <v>320000</v>
      </c>
      <c r="N30" s="25">
        <f t="shared" si="5"/>
        <v>0.5113580649391587</v>
      </c>
    </row>
    <row r="31" spans="12:14" x14ac:dyDescent="0.3">
      <c r="M31" s="1">
        <v>340000</v>
      </c>
      <c r="N31" s="16">
        <f t="shared" si="5"/>
        <v>0.48836757386151419</v>
      </c>
    </row>
    <row r="32" spans="12:14" x14ac:dyDescent="0.3">
      <c r="M32" s="1">
        <v>360000</v>
      </c>
      <c r="N32" s="25">
        <f t="shared" si="5"/>
        <v>0.46708066567101036</v>
      </c>
    </row>
    <row r="33" spans="13:14" x14ac:dyDescent="0.3">
      <c r="M33" s="1">
        <v>380000</v>
      </c>
      <c r="N33" s="16">
        <f t="shared" si="5"/>
        <v>0.44735151571848203</v>
      </c>
    </row>
    <row r="34" spans="13:14" x14ac:dyDescent="0.3">
      <c r="M34" s="1">
        <v>400000</v>
      </c>
      <c r="N34" s="25">
        <f t="shared" si="5"/>
        <v>0.42904341375151783</v>
      </c>
    </row>
  </sheetData>
  <mergeCells count="5">
    <mergeCell ref="G1:K1"/>
    <mergeCell ref="E4:J4"/>
    <mergeCell ref="L4:Q4"/>
    <mergeCell ref="D6:D10"/>
    <mergeCell ref="D11:D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8E4A-22E0-4313-9A5B-987138613F41}">
  <dimension ref="A1:Q30"/>
  <sheetViews>
    <sheetView topLeftCell="B1" zoomScaleNormal="100" workbookViewId="0">
      <selection activeCell="I17" sqref="I17"/>
    </sheetView>
  </sheetViews>
  <sheetFormatPr defaultColWidth="9.21875" defaultRowHeight="14.4" x14ac:dyDescent="0.3"/>
  <cols>
    <col min="1" max="1" width="13.6640625" style="26" bestFit="1" customWidth="1"/>
    <col min="2" max="2" width="11.88671875" style="26" bestFit="1" customWidth="1"/>
    <col min="3" max="3" width="9.21875" style="26"/>
    <col min="4" max="4" width="10.6640625" style="26" customWidth="1"/>
    <col min="5" max="5" width="11.21875" style="26" customWidth="1"/>
    <col min="6" max="6" width="12.77734375" style="26" customWidth="1"/>
    <col min="7" max="7" width="12" style="26" bestFit="1" customWidth="1"/>
    <col min="8" max="8" width="12.33203125" style="26" bestFit="1" customWidth="1"/>
    <col min="9" max="10" width="12.33203125" style="26" customWidth="1"/>
    <col min="11" max="12" width="9.21875" style="26"/>
    <col min="13" max="13" width="8.21875" style="26" customWidth="1"/>
    <col min="14" max="14" width="10.33203125" style="26" customWidth="1"/>
    <col min="15" max="15" width="10.5546875" style="26" customWidth="1"/>
    <col min="16" max="16" width="11.88671875" style="26" customWidth="1"/>
    <col min="17" max="17" width="13.44140625" style="26" customWidth="1"/>
    <col min="18" max="16384" width="9.21875" style="26"/>
  </cols>
  <sheetData>
    <row r="1" spans="1:17" ht="31.2" x14ac:dyDescent="0.3">
      <c r="H1" s="85" t="s">
        <v>2</v>
      </c>
      <c r="I1" s="86"/>
      <c r="J1" s="87"/>
    </row>
    <row r="3" spans="1:17" x14ac:dyDescent="0.3">
      <c r="E3" s="88" t="s">
        <v>19</v>
      </c>
      <c r="F3" s="89"/>
      <c r="O3" s="88" t="s">
        <v>20</v>
      </c>
      <c r="P3" s="89"/>
    </row>
    <row r="4" spans="1:17" x14ac:dyDescent="0.3">
      <c r="D4" s="88" t="s">
        <v>31</v>
      </c>
      <c r="E4" s="90"/>
      <c r="F4" s="90"/>
      <c r="G4" s="89"/>
      <c r="N4" s="88" t="s">
        <v>32</v>
      </c>
      <c r="O4" s="90"/>
      <c r="P4" s="90"/>
      <c r="Q4" s="89"/>
    </row>
    <row r="5" spans="1:17" x14ac:dyDescent="0.3">
      <c r="A5" s="27" t="s">
        <v>21</v>
      </c>
      <c r="B5" s="28">
        <v>25</v>
      </c>
    </row>
    <row r="6" spans="1:17" x14ac:dyDescent="0.3">
      <c r="A6" s="29" t="s">
        <v>27</v>
      </c>
      <c r="B6" s="30">
        <f>2*PI()*B5</f>
        <v>157.07963267948966</v>
      </c>
      <c r="D6" s="31" t="s">
        <v>22</v>
      </c>
      <c r="E6" s="32" t="s">
        <v>18</v>
      </c>
      <c r="F6" s="32" t="s">
        <v>23</v>
      </c>
      <c r="G6" s="33" t="s">
        <v>24</v>
      </c>
      <c r="H6" s="34" t="s">
        <v>25</v>
      </c>
      <c r="I6" s="34" t="s">
        <v>26</v>
      </c>
      <c r="J6" s="34"/>
      <c r="N6" s="31" t="s">
        <v>22</v>
      </c>
      <c r="O6" s="32" t="s">
        <v>18</v>
      </c>
      <c r="P6" s="32" t="s">
        <v>23</v>
      </c>
      <c r="Q6" s="33" t="s">
        <v>24</v>
      </c>
    </row>
    <row r="7" spans="1:17" x14ac:dyDescent="0.3">
      <c r="A7" s="26" t="s">
        <v>14</v>
      </c>
      <c r="B7" s="51">
        <v>8.4141999999999995E-5</v>
      </c>
      <c r="D7" s="36">
        <v>5</v>
      </c>
      <c r="E7" s="37">
        <f>1/(SQRT(1+$B$13^2*(D7/$B$5 - $B$5/D7)^2))</f>
        <v>2.555317529687841E-3</v>
      </c>
      <c r="F7" s="38">
        <v>0.19320000000000001</v>
      </c>
      <c r="G7" s="50">
        <f>ABS((E7-F7)*100/F7)</f>
        <v>98.677371879043548</v>
      </c>
      <c r="H7" s="26">
        <f>(D7/$B$5-$B$5/D7)^2</f>
        <v>23.04</v>
      </c>
      <c r="N7" s="39">
        <v>5</v>
      </c>
      <c r="O7" s="40">
        <f t="shared" ref="O7:O30" si="0">1/(SQRT(1+$L$13^2*(D7/$B$5 - $B$5/D7)^2))</f>
        <v>0.1267360471687381</v>
      </c>
      <c r="P7" s="41">
        <v>0.33300000000000002</v>
      </c>
      <c r="Q7" s="72">
        <f>ABS((O7-P7)*100/P7)</f>
        <v>61.94112697635493</v>
      </c>
    </row>
    <row r="8" spans="1:17" x14ac:dyDescent="0.3">
      <c r="A8" s="26" t="s">
        <v>15</v>
      </c>
      <c r="B8" s="51">
        <v>4.8167E-7</v>
      </c>
      <c r="D8" s="43">
        <v>10</v>
      </c>
      <c r="E8" s="35">
        <f t="shared" ref="E8:E30" si="1">1/(SQRT(1+$B$13^2*(D8/$B$5 - $B$5/D8)^2))</f>
        <v>5.8406452272644791E-3</v>
      </c>
      <c r="F8" s="26">
        <v>1.2500000000000001E-2</v>
      </c>
      <c r="G8" s="50">
        <f>ABS((E8-F8)*100/F8)</f>
        <v>53.274838181884171</v>
      </c>
      <c r="H8" s="26">
        <f t="shared" ref="H8:H30" si="2">(D8/$B$5-$B$5/D8)^2</f>
        <v>4.41</v>
      </c>
      <c r="N8" s="43">
        <v>10</v>
      </c>
      <c r="O8" s="35">
        <f t="shared" si="0"/>
        <v>0.28032781283210473</v>
      </c>
      <c r="P8" s="26">
        <v>0.38540000000000002</v>
      </c>
      <c r="Q8" s="72">
        <f t="shared" ref="Q8:Q30" si="3">ABS((O8-P8)*100/P8)</f>
        <v>27.263151833911593</v>
      </c>
    </row>
    <row r="9" spans="1:17" x14ac:dyDescent="0.3">
      <c r="D9" s="36">
        <v>15</v>
      </c>
      <c r="E9" s="37">
        <f>1/(SQRT(1+$B$13^2*(D9/$B$5 - $B$5/D9)^2))</f>
        <v>1.1498206268656838E-2</v>
      </c>
      <c r="F9" s="44">
        <v>1.2500000000000001E-2</v>
      </c>
      <c r="G9" s="50">
        <f t="shared" ref="G9:G30" si="4">ABS((E9-F9)*100/F9)</f>
        <v>8.0143498507452957</v>
      </c>
      <c r="H9" s="26">
        <f t="shared" si="2"/>
        <v>1.1377777777777782</v>
      </c>
      <c r="N9" s="39">
        <v>15</v>
      </c>
      <c r="O9" s="40">
        <f t="shared" si="0"/>
        <v>0.49843745428941649</v>
      </c>
      <c r="P9" s="41">
        <v>0.6069</v>
      </c>
      <c r="Q9" s="72">
        <f t="shared" si="3"/>
        <v>17.871567920676142</v>
      </c>
    </row>
    <row r="10" spans="1:17" x14ac:dyDescent="0.3">
      <c r="A10" s="27" t="s">
        <v>5</v>
      </c>
      <c r="B10" s="28">
        <v>0.2</v>
      </c>
      <c r="D10" s="43">
        <v>20</v>
      </c>
      <c r="E10" s="35">
        <f t="shared" si="1"/>
        <v>2.7246689943198246E-2</v>
      </c>
      <c r="F10" s="26">
        <v>2.7799999999999998E-2</v>
      </c>
      <c r="G10" s="50">
        <f t="shared" si="4"/>
        <v>1.9903239453300436</v>
      </c>
      <c r="H10" s="26">
        <f t="shared" si="2"/>
        <v>0.20249999999999996</v>
      </c>
      <c r="K10" s="27" t="s">
        <v>5</v>
      </c>
      <c r="L10" s="28">
        <v>10</v>
      </c>
      <c r="N10" s="43">
        <v>20</v>
      </c>
      <c r="O10" s="35">
        <f t="shared" si="0"/>
        <v>0.80624030525692636</v>
      </c>
      <c r="P10" s="26">
        <v>0.91820000000000002</v>
      </c>
      <c r="Q10" s="72">
        <f t="shared" si="3"/>
        <v>12.193388667291837</v>
      </c>
    </row>
    <row r="11" spans="1:17" x14ac:dyDescent="0.3">
      <c r="A11" s="43" t="s">
        <v>6</v>
      </c>
      <c r="B11" s="45">
        <f>(8*B10)/PI()^2</f>
        <v>0.16211389382774044</v>
      </c>
      <c r="D11" s="56">
        <v>25</v>
      </c>
      <c r="E11" s="57">
        <f t="shared" si="1"/>
        <v>1</v>
      </c>
      <c r="F11" s="58">
        <v>0.99860000000000004</v>
      </c>
      <c r="G11" s="68">
        <f>ABS((E11-F11)*100/F11)</f>
        <v>0.14019627478469424</v>
      </c>
      <c r="H11" s="26">
        <f t="shared" si="2"/>
        <v>0</v>
      </c>
      <c r="K11" s="43" t="s">
        <v>6</v>
      </c>
      <c r="L11" s="45">
        <f>(8*L10)/PI()^2</f>
        <v>8.105694691387022</v>
      </c>
      <c r="N11" s="59">
        <v>25</v>
      </c>
      <c r="O11" s="60">
        <f t="shared" si="0"/>
        <v>1</v>
      </c>
      <c r="P11" s="61">
        <v>1</v>
      </c>
      <c r="Q11" s="73">
        <f t="shared" si="3"/>
        <v>0</v>
      </c>
    </row>
    <row r="12" spans="1:17" x14ac:dyDescent="0.3">
      <c r="A12" s="43"/>
      <c r="B12" s="45"/>
      <c r="D12" s="43">
        <v>30</v>
      </c>
      <c r="E12" s="35">
        <f t="shared" si="1"/>
        <v>3.3432838159243188E-2</v>
      </c>
      <c r="F12" s="26">
        <v>3.3099999999999997E-2</v>
      </c>
      <c r="G12" s="50">
        <f t="shared" si="4"/>
        <v>1.0055533511878854</v>
      </c>
      <c r="H12" s="26">
        <f t="shared" si="2"/>
        <v>0.13444444444444439</v>
      </c>
      <c r="K12" s="43"/>
      <c r="L12" s="45"/>
      <c r="N12" s="43">
        <v>30</v>
      </c>
      <c r="O12" s="35">
        <f t="shared" si="0"/>
        <v>0.85829470714931955</v>
      </c>
      <c r="P12" s="26">
        <v>0.80989999999999995</v>
      </c>
      <c r="Q12" s="72">
        <f t="shared" si="3"/>
        <v>5.9753929064476594</v>
      </c>
    </row>
    <row r="13" spans="1:17" x14ac:dyDescent="0.3">
      <c r="A13" s="29" t="s">
        <v>7</v>
      </c>
      <c r="B13" s="55">
        <f>(2*PI()*B5*1000*B7)/B11</f>
        <v>81.529066638555861</v>
      </c>
      <c r="D13" s="36">
        <v>35</v>
      </c>
      <c r="E13" s="37">
        <f t="shared" si="1"/>
        <v>1.7884420232275013E-2</v>
      </c>
      <c r="F13" s="38">
        <v>1.7600000000000001E-2</v>
      </c>
      <c r="G13" s="50">
        <f t="shared" si="4"/>
        <v>1.6160240470171148</v>
      </c>
      <c r="H13" s="26">
        <f t="shared" si="2"/>
        <v>0.47020408163265293</v>
      </c>
      <c r="K13" s="29" t="s">
        <v>7</v>
      </c>
      <c r="L13" s="55">
        <f>(2*PI()*B5*1000*B7)/L11</f>
        <v>1.6305813327711172</v>
      </c>
      <c r="N13" s="39">
        <v>35</v>
      </c>
      <c r="O13" s="40">
        <f t="shared" si="0"/>
        <v>0.66664052180024236</v>
      </c>
      <c r="P13" s="41">
        <v>0.61699999999999999</v>
      </c>
      <c r="Q13" s="72">
        <f t="shared" si="3"/>
        <v>8.0454654457443056</v>
      </c>
    </row>
    <row r="14" spans="1:17" x14ac:dyDescent="0.3">
      <c r="D14" s="43">
        <v>40</v>
      </c>
      <c r="E14" s="35">
        <f t="shared" si="1"/>
        <v>1.2579070503059833E-2</v>
      </c>
      <c r="F14" s="26">
        <v>1.23E-2</v>
      </c>
      <c r="G14" s="50">
        <f t="shared" si="4"/>
        <v>2.2688658785352249</v>
      </c>
      <c r="H14" s="26">
        <f t="shared" si="2"/>
        <v>0.95062500000000016</v>
      </c>
      <c r="N14" s="43">
        <v>40</v>
      </c>
      <c r="O14" s="35">
        <f t="shared" si="0"/>
        <v>0.53243355069401033</v>
      </c>
      <c r="P14" s="26">
        <v>0.49390000000000001</v>
      </c>
      <c r="Q14" s="72">
        <f t="shared" si="3"/>
        <v>7.8018932362847382</v>
      </c>
    </row>
    <row r="15" spans="1:17" x14ac:dyDescent="0.3">
      <c r="D15" s="36">
        <v>50</v>
      </c>
      <c r="E15" s="37">
        <f t="shared" si="1"/>
        <v>8.1767694303449337E-3</v>
      </c>
      <c r="F15" s="38">
        <v>8.0000000000000002E-3</v>
      </c>
      <c r="G15" s="50">
        <f t="shared" si="4"/>
        <v>2.209617879311669</v>
      </c>
      <c r="H15" s="26">
        <f t="shared" si="2"/>
        <v>2.25</v>
      </c>
      <c r="N15" s="39">
        <v>50</v>
      </c>
      <c r="O15" s="40">
        <f t="shared" si="0"/>
        <v>0.37844351166432511</v>
      </c>
      <c r="P15" s="41">
        <v>0.35510000000000003</v>
      </c>
      <c r="Q15" s="72">
        <f t="shared" si="3"/>
        <v>6.5737853180301533</v>
      </c>
    </row>
    <row r="16" spans="1:17" x14ac:dyDescent="0.3">
      <c r="D16" s="43">
        <v>60</v>
      </c>
      <c r="E16" s="35">
        <f t="shared" si="1"/>
        <v>6.1841998190443094E-3</v>
      </c>
      <c r="F16" s="26">
        <v>6.0000000000000001E-3</v>
      </c>
      <c r="G16" s="50">
        <f t="shared" si="4"/>
        <v>3.0699969840718211</v>
      </c>
      <c r="H16" s="26">
        <f t="shared" si="2"/>
        <v>3.9336111111111105</v>
      </c>
      <c r="N16" s="43">
        <v>60</v>
      </c>
      <c r="O16" s="35">
        <f t="shared" si="0"/>
        <v>0.29541527129277428</v>
      </c>
      <c r="P16" s="26">
        <v>0.2797</v>
      </c>
      <c r="Q16" s="72">
        <f t="shared" si="3"/>
        <v>5.6186168368874796</v>
      </c>
    </row>
    <row r="17" spans="4:17" x14ac:dyDescent="0.3">
      <c r="D17" s="36">
        <v>80</v>
      </c>
      <c r="E17" s="37">
        <f t="shared" si="1"/>
        <v>4.2477761141109811E-3</v>
      </c>
      <c r="F17" s="38">
        <v>4.1000000000000003E-3</v>
      </c>
      <c r="G17" s="50">
        <f t="shared" si="4"/>
        <v>3.6042954661214806</v>
      </c>
      <c r="H17" s="26">
        <f t="shared" si="2"/>
        <v>8.3376562500000002</v>
      </c>
      <c r="N17" s="39">
        <v>80</v>
      </c>
      <c r="O17" s="40">
        <f t="shared" si="0"/>
        <v>0.20775647930320421</v>
      </c>
      <c r="P17" s="41">
        <v>0.19869999999999999</v>
      </c>
      <c r="Q17" s="72">
        <f t="shared" si="3"/>
        <v>4.5578657791666926</v>
      </c>
    </row>
    <row r="18" spans="4:17" x14ac:dyDescent="0.3">
      <c r="D18" s="43">
        <v>100</v>
      </c>
      <c r="E18" s="35">
        <f t="shared" si="1"/>
        <v>3.2707996207991491E-3</v>
      </c>
      <c r="F18" s="26">
        <v>3.2000000000000002E-3</v>
      </c>
      <c r="G18" s="50">
        <f t="shared" si="4"/>
        <v>2.2124881499734039</v>
      </c>
      <c r="H18" s="26">
        <f t="shared" si="2"/>
        <v>14.0625</v>
      </c>
      <c r="N18" s="43">
        <v>100</v>
      </c>
      <c r="O18" s="35">
        <f t="shared" si="0"/>
        <v>0.16139676980562642</v>
      </c>
      <c r="P18" s="26">
        <v>0.15509999999999999</v>
      </c>
      <c r="Q18" s="72">
        <f t="shared" si="3"/>
        <v>4.0598128985341297</v>
      </c>
    </row>
    <row r="19" spans="4:17" x14ac:dyDescent="0.3">
      <c r="D19" s="36">
        <v>120</v>
      </c>
      <c r="E19" s="37">
        <f t="shared" si="1"/>
        <v>2.6712567171482482E-3</v>
      </c>
      <c r="F19" s="38">
        <v>2.5999999999999999E-3</v>
      </c>
      <c r="G19" s="50">
        <f t="shared" si="4"/>
        <v>2.7406429672403214</v>
      </c>
      <c r="H19" s="26">
        <f t="shared" si="2"/>
        <v>21.083402777777778</v>
      </c>
      <c r="N19" s="39">
        <v>120</v>
      </c>
      <c r="O19" s="40">
        <f t="shared" si="0"/>
        <v>0.13238768975442872</v>
      </c>
      <c r="P19" s="41">
        <v>0.1275</v>
      </c>
      <c r="Q19" s="72">
        <f t="shared" si="3"/>
        <v>3.8334821603362466</v>
      </c>
    </row>
    <row r="20" spans="4:17" x14ac:dyDescent="0.3">
      <c r="D20" s="43">
        <v>140</v>
      </c>
      <c r="E20" s="35">
        <f t="shared" si="1"/>
        <v>2.2624171166317928E-3</v>
      </c>
      <c r="F20" s="26">
        <v>2.2000000000000001E-3</v>
      </c>
      <c r="G20" s="50">
        <f t="shared" si="4"/>
        <v>2.8371416650814867</v>
      </c>
      <c r="H20" s="26">
        <f t="shared" si="2"/>
        <v>29.391887755102033</v>
      </c>
      <c r="N20" s="43">
        <v>140</v>
      </c>
      <c r="O20" s="35">
        <f t="shared" si="0"/>
        <v>0.11240424698799155</v>
      </c>
      <c r="P20" s="26">
        <v>0.1084</v>
      </c>
      <c r="Q20" s="72">
        <f t="shared" si="3"/>
        <v>3.693954785970067</v>
      </c>
    </row>
    <row r="21" spans="4:17" x14ac:dyDescent="0.3">
      <c r="D21" s="36">
        <v>160</v>
      </c>
      <c r="E21" s="37">
        <f t="shared" si="1"/>
        <v>1.9644509342351363E-3</v>
      </c>
      <c r="F21" s="38">
        <v>1.9E-3</v>
      </c>
      <c r="G21" s="50">
        <f t="shared" si="4"/>
        <v>3.3921544334282245</v>
      </c>
      <c r="H21" s="26">
        <f t="shared" si="2"/>
        <v>38.984414062500008</v>
      </c>
      <c r="N21" s="39">
        <v>160</v>
      </c>
      <c r="O21" s="40">
        <f t="shared" si="0"/>
        <v>9.775232526598239E-2</v>
      </c>
      <c r="P21" s="41">
        <v>9.4399999999999998E-2</v>
      </c>
      <c r="Q21" s="72">
        <f t="shared" si="3"/>
        <v>3.5511920190491444</v>
      </c>
    </row>
    <row r="22" spans="4:17" x14ac:dyDescent="0.3">
      <c r="D22" s="43">
        <v>180</v>
      </c>
      <c r="E22" s="35">
        <f t="shared" si="1"/>
        <v>1.7370560368785109E-3</v>
      </c>
      <c r="F22" s="26">
        <v>1.6999999999999999E-3</v>
      </c>
      <c r="G22" s="50">
        <f t="shared" si="4"/>
        <v>2.1797668752065316</v>
      </c>
      <c r="H22" s="26">
        <f t="shared" si="2"/>
        <v>49.859290123456788</v>
      </c>
      <c r="N22" s="43">
        <v>180</v>
      </c>
      <c r="O22" s="35">
        <f t="shared" si="0"/>
        <v>8.6527190043117985E-2</v>
      </c>
      <c r="P22" s="26">
        <v>8.3599999999999994E-2</v>
      </c>
      <c r="Q22" s="72">
        <f t="shared" si="3"/>
        <v>3.5014234965526216</v>
      </c>
    </row>
    <row r="23" spans="4:17" x14ac:dyDescent="0.3">
      <c r="D23" s="36">
        <v>200</v>
      </c>
      <c r="E23" s="37">
        <f t="shared" si="1"/>
        <v>1.5575300711046011E-3</v>
      </c>
      <c r="F23" s="38">
        <v>1.5E-3</v>
      </c>
      <c r="G23" s="50">
        <f t="shared" si="4"/>
        <v>3.835338073640068</v>
      </c>
      <c r="H23" s="26">
        <f t="shared" si="2"/>
        <v>62.015625</v>
      </c>
      <c r="N23" s="39">
        <v>200</v>
      </c>
      <c r="O23" s="40">
        <f t="shared" si="0"/>
        <v>7.7641515154333485E-2</v>
      </c>
      <c r="P23" s="41">
        <v>7.51E-2</v>
      </c>
      <c r="Q23" s="72">
        <f t="shared" si="3"/>
        <v>3.384174639591857</v>
      </c>
    </row>
    <row r="24" spans="4:17" x14ac:dyDescent="0.3">
      <c r="D24" s="43">
        <v>220</v>
      </c>
      <c r="E24" s="35">
        <f t="shared" si="1"/>
        <v>1.4120467980539174E-3</v>
      </c>
      <c r="F24" s="26">
        <v>1.4E-3</v>
      </c>
      <c r="G24" s="50">
        <f t="shared" si="4"/>
        <v>0.86048557527981218</v>
      </c>
      <c r="H24" s="26">
        <f t="shared" si="2"/>
        <v>75.452913223140513</v>
      </c>
      <c r="N24" s="43">
        <v>220</v>
      </c>
      <c r="O24" s="35">
        <f t="shared" si="0"/>
        <v>7.0427099491994105E-2</v>
      </c>
      <c r="P24" s="26">
        <v>6.8099999999999994E-2</v>
      </c>
      <c r="Q24" s="72">
        <f t="shared" si="3"/>
        <v>3.4171798707696204</v>
      </c>
    </row>
    <row r="25" spans="4:17" x14ac:dyDescent="0.3">
      <c r="D25" s="36">
        <v>240</v>
      </c>
      <c r="E25" s="37">
        <f t="shared" si="1"/>
        <v>1.2916774678733431E-3</v>
      </c>
      <c r="F25" s="38">
        <v>1.2999999999999999E-3</v>
      </c>
      <c r="G25" s="50">
        <f t="shared" si="4"/>
        <v>0.64019477897360133</v>
      </c>
      <c r="H25" s="26">
        <f t="shared" si="2"/>
        <v>90.170850694444454</v>
      </c>
      <c r="N25" s="39">
        <v>240</v>
      </c>
      <c r="O25" s="40">
        <f t="shared" si="0"/>
        <v>6.4449654689595515E-2</v>
      </c>
      <c r="P25" s="41">
        <v>6.2399999999999997E-2</v>
      </c>
      <c r="Q25" s="72">
        <f t="shared" si="3"/>
        <v>3.2847030281979448</v>
      </c>
    </row>
    <row r="26" spans="4:17" x14ac:dyDescent="0.3">
      <c r="D26" s="43">
        <v>260</v>
      </c>
      <c r="E26" s="35">
        <f t="shared" si="1"/>
        <v>1.1903861251482629E-3</v>
      </c>
      <c r="F26" s="26">
        <v>1.1999999999999999E-3</v>
      </c>
      <c r="G26" s="50">
        <f t="shared" si="4"/>
        <v>0.80115623764474642</v>
      </c>
      <c r="H26" s="26">
        <f t="shared" si="2"/>
        <v>106.16924556213017</v>
      </c>
      <c r="N26" s="43">
        <v>260</v>
      </c>
      <c r="O26" s="35">
        <f>1/(SQRT(1+$L$13^2*(D26/$B$5 - $B$5/D26)^2))</f>
        <v>5.941420249058655E-2</v>
      </c>
      <c r="P26" s="26">
        <v>5.7500000000000002E-2</v>
      </c>
      <c r="Q26" s="72">
        <f t="shared" si="3"/>
        <v>3.3290478097157346</v>
      </c>
    </row>
    <row r="27" spans="4:17" x14ac:dyDescent="0.3">
      <c r="D27" s="36">
        <v>280</v>
      </c>
      <c r="E27" s="37">
        <f t="shared" si="1"/>
        <v>1.1039395306319338E-3</v>
      </c>
      <c r="F27" s="38">
        <v>1.1000000000000001E-3</v>
      </c>
      <c r="G27" s="50">
        <f t="shared" si="4"/>
        <v>0.35813914835760796</v>
      </c>
      <c r="H27" s="26">
        <f t="shared" si="2"/>
        <v>123.44797193877551</v>
      </c>
      <c r="N27" s="39">
        <v>280</v>
      </c>
      <c r="O27" s="40">
        <f t="shared" si="0"/>
        <v>5.5113117175507348E-2</v>
      </c>
      <c r="P27" s="41">
        <v>5.33E-2</v>
      </c>
      <c r="Q27" s="72">
        <f t="shared" si="3"/>
        <v>3.401720779563504</v>
      </c>
    </row>
    <row r="28" spans="4:17" x14ac:dyDescent="0.3">
      <c r="D28" s="29">
        <v>300</v>
      </c>
      <c r="E28" s="46">
        <f t="shared" si="1"/>
        <v>1.0292775684190305E-3</v>
      </c>
      <c r="F28" s="47">
        <v>1E-3</v>
      </c>
      <c r="G28" s="52">
        <f t="shared" si="4"/>
        <v>2.9277568419030455</v>
      </c>
      <c r="H28" s="26">
        <f t="shared" si="2"/>
        <v>142.00694444444443</v>
      </c>
      <c r="N28" s="29">
        <v>300</v>
      </c>
      <c r="O28" s="46">
        <f t="shared" si="0"/>
        <v>5.1395888819250182E-2</v>
      </c>
      <c r="P28" s="47">
        <v>4.9799999999999997E-2</v>
      </c>
      <c r="Q28" s="74">
        <f t="shared" si="3"/>
        <v>3.2045960225907337</v>
      </c>
    </row>
    <row r="29" spans="4:17" x14ac:dyDescent="0.3">
      <c r="D29" s="26">
        <v>600</v>
      </c>
      <c r="E29" s="26">
        <f t="shared" si="1"/>
        <v>5.1195391638639103E-4</v>
      </c>
      <c r="F29" s="26">
        <v>5.0000000000000001E-4</v>
      </c>
      <c r="G29" s="35">
        <f t="shared" si="4"/>
        <v>2.3907832772782034</v>
      </c>
      <c r="H29" s="26">
        <f t="shared" si="2"/>
        <v>574.00173611111109</v>
      </c>
      <c r="N29" s="26">
        <v>600</v>
      </c>
      <c r="O29" s="26">
        <f t="shared" si="0"/>
        <v>2.5589316946525279E-2</v>
      </c>
      <c r="P29" s="26">
        <v>2.4799999999999999E-2</v>
      </c>
      <c r="Q29" s="35">
        <f t="shared" si="3"/>
        <v>3.1827296230858066</v>
      </c>
    </row>
    <row r="30" spans="4:17" x14ac:dyDescent="0.3">
      <c r="D30" s="26">
        <v>2</v>
      </c>
      <c r="E30" s="26">
        <f t="shared" si="1"/>
        <v>9.8756507296802825E-4</v>
      </c>
      <c r="F30" s="26">
        <v>1.3299999999999999E-2</v>
      </c>
      <c r="G30" s="26">
        <f t="shared" si="4"/>
        <v>92.574698699488508</v>
      </c>
      <c r="H30" s="26">
        <f t="shared" si="2"/>
        <v>154.25639999999999</v>
      </c>
      <c r="N30" s="26">
        <v>2</v>
      </c>
      <c r="O30" s="26">
        <f t="shared" si="0"/>
        <v>4.9318190173089277E-2</v>
      </c>
      <c r="P30" s="26">
        <v>0.19889999999999999</v>
      </c>
      <c r="Q30" s="26">
        <f t="shared" si="3"/>
        <v>75.204529827506647</v>
      </c>
    </row>
  </sheetData>
  <mergeCells count="5">
    <mergeCell ref="H1:J1"/>
    <mergeCell ref="E3:F3"/>
    <mergeCell ref="O3:P3"/>
    <mergeCell ref="D4:G4"/>
    <mergeCell ref="N4:Q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9966-1D60-420D-812A-61CC7D4DA7B4}">
  <dimension ref="A1:Q39"/>
  <sheetViews>
    <sheetView topLeftCell="A10" zoomScale="85" zoomScaleNormal="85" workbookViewId="0">
      <selection activeCell="K20" sqref="K20"/>
    </sheetView>
  </sheetViews>
  <sheetFormatPr defaultColWidth="9.21875" defaultRowHeight="14.4" x14ac:dyDescent="0.3"/>
  <cols>
    <col min="1" max="1" width="11.6640625" style="26" bestFit="1" customWidth="1"/>
    <col min="2" max="2" width="12.5546875" style="26" bestFit="1" customWidth="1"/>
    <col min="3" max="3" width="9.21875" style="26" customWidth="1"/>
    <col min="4" max="4" width="9.21875" style="26"/>
    <col min="5" max="5" width="10.77734375" style="26" customWidth="1"/>
    <col min="6" max="6" width="12.109375" style="26" customWidth="1"/>
    <col min="7" max="7" width="11.6640625" style="26" customWidth="1"/>
    <col min="8" max="8" width="12.33203125" style="26" bestFit="1" customWidth="1"/>
    <col min="9" max="10" width="12.33203125" style="26" customWidth="1"/>
    <col min="11" max="15" width="9.21875" style="26"/>
    <col min="16" max="16" width="10.109375" style="26" bestFit="1" customWidth="1"/>
    <col min="17" max="17" width="12.6640625" style="26" bestFit="1" customWidth="1"/>
    <col min="18" max="16384" width="9.21875" style="26"/>
  </cols>
  <sheetData>
    <row r="1" spans="1:17" ht="31.2" x14ac:dyDescent="0.3">
      <c r="H1" s="85" t="s">
        <v>3</v>
      </c>
      <c r="I1" s="86"/>
      <c r="J1" s="87"/>
    </row>
    <row r="3" spans="1:17" x14ac:dyDescent="0.3">
      <c r="E3" s="88" t="s">
        <v>19</v>
      </c>
      <c r="F3" s="89"/>
      <c r="O3" s="88" t="s">
        <v>20</v>
      </c>
      <c r="P3" s="89"/>
    </row>
    <row r="4" spans="1:17" x14ac:dyDescent="0.3">
      <c r="D4" s="88" t="s">
        <v>33</v>
      </c>
      <c r="E4" s="90"/>
      <c r="F4" s="90"/>
      <c r="G4" s="89"/>
      <c r="N4" s="88" t="s">
        <v>34</v>
      </c>
      <c r="O4" s="90"/>
      <c r="P4" s="90"/>
      <c r="Q4" s="89"/>
    </row>
    <row r="5" spans="1:17" x14ac:dyDescent="0.3">
      <c r="A5" s="27" t="s">
        <v>21</v>
      </c>
      <c r="B5" s="28">
        <v>25</v>
      </c>
    </row>
    <row r="6" spans="1:17" x14ac:dyDescent="0.3">
      <c r="A6" s="29" t="s">
        <v>27</v>
      </c>
      <c r="B6" s="30">
        <f>2*PI()*B5</f>
        <v>157.07963267948966</v>
      </c>
      <c r="D6" s="31" t="s">
        <v>22</v>
      </c>
      <c r="E6" s="32" t="s">
        <v>18</v>
      </c>
      <c r="F6" s="32" t="s">
        <v>23</v>
      </c>
      <c r="G6" s="33" t="s">
        <v>24</v>
      </c>
      <c r="H6" s="34" t="s">
        <v>28</v>
      </c>
      <c r="I6" s="34"/>
      <c r="J6" s="34"/>
      <c r="N6" s="31" t="s">
        <v>22</v>
      </c>
      <c r="O6" s="32" t="s">
        <v>18</v>
      </c>
      <c r="P6" s="32" t="s">
        <v>23</v>
      </c>
      <c r="Q6" s="33" t="s">
        <v>24</v>
      </c>
    </row>
    <row r="7" spans="1:17" x14ac:dyDescent="0.3">
      <c r="A7" s="26" t="s">
        <v>14</v>
      </c>
      <c r="B7" s="63">
        <v>8.4141999999999995E-5</v>
      </c>
      <c r="D7" s="36">
        <v>5</v>
      </c>
      <c r="E7" s="37">
        <f>(8/PI()^2)/SQRT((1-(D7/$B$5)^2)^2 + (D7/($B$5*$B$13))^2)</f>
        <v>7.5358221308147982E-2</v>
      </c>
      <c r="F7" s="38">
        <v>0.1111</v>
      </c>
      <c r="G7" s="50">
        <f>ABS((E7-F7)*100/F7)</f>
        <v>32.170817904457266</v>
      </c>
      <c r="H7" s="26">
        <f>(1-(D7/$B$5)^2)^2</f>
        <v>0.92159999999999997</v>
      </c>
      <c r="N7" s="39">
        <v>5</v>
      </c>
      <c r="O7" s="40">
        <f>(8/PI()^2)/SQRT((1-(N7/$B$5)^2)^2 + (N7/($B$5*$L$13))^2)</f>
        <v>0.82406703907837309</v>
      </c>
      <c r="P7" s="41">
        <v>0.87680000000000002</v>
      </c>
      <c r="Q7" s="42">
        <f>ABS((O7-P7)*100/P7)</f>
        <v>6.0142519299300794</v>
      </c>
    </row>
    <row r="8" spans="1:17" x14ac:dyDescent="0.3">
      <c r="A8" s="47" t="s">
        <v>15</v>
      </c>
      <c r="B8" s="64">
        <v>4.8167E-7</v>
      </c>
      <c r="D8" s="43">
        <v>10</v>
      </c>
      <c r="E8" s="37">
        <f t="shared" ref="E8:E29" si="0">(8/PI()^2)/SQRT((1-(D8/$B$5)^2)^2 + (D8/($B$5*$B$13))^2)</f>
        <v>3.7801045680841444E-2</v>
      </c>
      <c r="F8" s="26">
        <v>5.3199999999999997E-2</v>
      </c>
      <c r="G8" s="50">
        <f>ABS((E8-F8)*100/F8)</f>
        <v>28.945402855561191</v>
      </c>
      <c r="H8" s="26">
        <f>(1-(D8/$B$5)^2)^2</f>
        <v>0.70559999999999989</v>
      </c>
      <c r="N8" s="43">
        <v>10</v>
      </c>
      <c r="O8" s="40">
        <f t="shared" ref="O8:O39" si="1">(8/PI()^2)/SQRT((1-(N8/$B$5)^2)^2 + (N8/($B$5*$L$13))^2)</f>
        <v>0.8595692909419137</v>
      </c>
      <c r="P8" s="69">
        <v>0.99780000000000002</v>
      </c>
      <c r="Q8" s="42">
        <f t="shared" ref="Q8:Q39" si="2">ABS((O8-P8)*100/P8)</f>
        <v>13.853548712977181</v>
      </c>
    </row>
    <row r="9" spans="1:17" x14ac:dyDescent="0.3">
      <c r="D9" s="36">
        <v>15</v>
      </c>
      <c r="E9" s="37">
        <f>(8/PI()^2)/SQRT((1-(D9/$B$5)^2)^2 + (D9/($B$5*$B$13))^2)</f>
        <v>2.52150567605301E-2</v>
      </c>
      <c r="F9" s="44">
        <v>3.4099999999999998E-2</v>
      </c>
      <c r="G9" s="50">
        <f t="shared" ref="G9:G29" si="3">ABS((E9-F9)*100/F9)</f>
        <v>26.055552021905861</v>
      </c>
      <c r="H9" s="26">
        <f t="shared" ref="H9:H29" si="4">(1-(D9/$B$5)^2)^2</f>
        <v>0.40960000000000002</v>
      </c>
      <c r="N9" s="39">
        <v>15</v>
      </c>
      <c r="O9" s="40">
        <f t="shared" si="1"/>
        <v>0.89360603153647922</v>
      </c>
      <c r="P9" s="70">
        <v>0.71160000000000001</v>
      </c>
      <c r="Q9" s="42">
        <f t="shared" si="2"/>
        <v>25.577013987700845</v>
      </c>
    </row>
    <row r="10" spans="1:17" x14ac:dyDescent="0.3">
      <c r="A10" s="27" t="s">
        <v>5</v>
      </c>
      <c r="B10" s="28">
        <v>0.2</v>
      </c>
      <c r="D10" s="43">
        <v>20</v>
      </c>
      <c r="E10" s="37">
        <f t="shared" si="0"/>
        <v>1.8914374196149289E-2</v>
      </c>
      <c r="F10" s="26">
        <v>2.4799999999999999E-2</v>
      </c>
      <c r="G10" s="50">
        <f t="shared" si="3"/>
        <v>23.732362112301253</v>
      </c>
      <c r="H10" s="26">
        <f t="shared" si="4"/>
        <v>0.12959999999999991</v>
      </c>
      <c r="K10" s="27" t="s">
        <v>5</v>
      </c>
      <c r="L10" s="28">
        <v>10</v>
      </c>
      <c r="N10" s="43">
        <v>20</v>
      </c>
      <c r="O10" s="40">
        <f t="shared" si="1"/>
        <v>0.87195436849301988</v>
      </c>
      <c r="P10" s="69">
        <v>0.99760000000000004</v>
      </c>
      <c r="Q10" s="42">
        <f t="shared" si="2"/>
        <v>12.594790648253824</v>
      </c>
    </row>
    <row r="11" spans="1:17" x14ac:dyDescent="0.3">
      <c r="A11" s="43" t="s">
        <v>6</v>
      </c>
      <c r="B11" s="65">
        <f>(B10*PI()^2)/8</f>
        <v>0.24674011002723395</v>
      </c>
      <c r="D11" s="56">
        <v>25</v>
      </c>
      <c r="E11" s="57">
        <f>(8/PI()^2)/SQRT((1-(D11/$B$5)^2)^2 + (D11/($B$5*$B$13))^2)</f>
        <v>1.5132033285816388E-2</v>
      </c>
      <c r="F11" s="58">
        <v>1.9400000000000001E-2</v>
      </c>
      <c r="G11" s="68">
        <f t="shared" si="3"/>
        <v>21.99982842362687</v>
      </c>
      <c r="H11" s="26">
        <f t="shared" si="4"/>
        <v>0</v>
      </c>
      <c r="K11" s="43" t="s">
        <v>6</v>
      </c>
      <c r="L11" s="65">
        <f>(L10*PI()^2)/8</f>
        <v>12.337005501361698</v>
      </c>
      <c r="N11" s="59">
        <v>25</v>
      </c>
      <c r="O11" s="60">
        <f t="shared" si="1"/>
        <v>0.75660166429081954</v>
      </c>
      <c r="P11" s="71">
        <v>0.81859999999999999</v>
      </c>
      <c r="Q11" s="62">
        <f t="shared" si="2"/>
        <v>7.5737033605155695</v>
      </c>
    </row>
    <row r="12" spans="1:17" x14ac:dyDescent="0.3">
      <c r="A12" s="43"/>
      <c r="B12" s="45"/>
      <c r="D12" s="43">
        <v>30</v>
      </c>
      <c r="E12" s="37">
        <f t="shared" si="0"/>
        <v>1.2609732326448672E-2</v>
      </c>
      <c r="F12" s="26">
        <v>1.5900000000000001E-2</v>
      </c>
      <c r="G12" s="50">
        <f t="shared" si="3"/>
        <v>20.693507380825967</v>
      </c>
      <c r="H12" s="26">
        <f t="shared" si="4"/>
        <v>0.19359999999999997</v>
      </c>
      <c r="K12" s="43"/>
      <c r="L12" s="45"/>
      <c r="N12" s="43">
        <v>30</v>
      </c>
      <c r="O12" s="40">
        <f t="shared" si="1"/>
        <v>0.59653053348598106</v>
      </c>
      <c r="P12" s="69">
        <v>0.59589999999999999</v>
      </c>
      <c r="Q12" s="42">
        <f t="shared" si="2"/>
        <v>0.10581196274225162</v>
      </c>
    </row>
    <row r="13" spans="1:17" x14ac:dyDescent="0.3">
      <c r="A13" s="29" t="s">
        <v>7</v>
      </c>
      <c r="B13" s="30">
        <f>B11/(B6*1000*B7)</f>
        <v>1.8668397789390511E-2</v>
      </c>
      <c r="D13" s="36">
        <v>35</v>
      </c>
      <c r="E13" s="37">
        <f t="shared" si="0"/>
        <v>1.080770970862705E-2</v>
      </c>
      <c r="F13" s="38">
        <v>1.34E-2</v>
      </c>
      <c r="G13" s="50">
        <f t="shared" si="3"/>
        <v>19.345449935619033</v>
      </c>
      <c r="H13" s="26">
        <f t="shared" si="4"/>
        <v>0.92159999999999953</v>
      </c>
      <c r="K13" s="29" t="s">
        <v>7</v>
      </c>
      <c r="L13" s="49">
        <f>L11/(B6*1000*B7)</f>
        <v>0.9334198894695257</v>
      </c>
      <c r="N13" s="39">
        <v>35</v>
      </c>
      <c r="O13" s="40">
        <f t="shared" si="1"/>
        <v>0.45517626463531419</v>
      </c>
      <c r="P13" s="70">
        <v>0.44400000000000001</v>
      </c>
      <c r="Q13" s="42">
        <f t="shared" si="2"/>
        <v>2.5171767196653563</v>
      </c>
    </row>
    <row r="14" spans="1:17" x14ac:dyDescent="0.3">
      <c r="D14" s="43">
        <v>40</v>
      </c>
      <c r="E14" s="37">
        <f t="shared" si="0"/>
        <v>9.4559545476692423E-3</v>
      </c>
      <c r="F14" s="26">
        <v>1.1599999999999999E-2</v>
      </c>
      <c r="G14" s="50">
        <f t="shared" si="3"/>
        <v>18.483150451127216</v>
      </c>
      <c r="H14" s="26">
        <f t="shared" si="4"/>
        <v>2.4336000000000015</v>
      </c>
      <c r="N14" s="43">
        <v>40</v>
      </c>
      <c r="O14" s="40">
        <f t="shared" si="1"/>
        <v>0.3497269423375573</v>
      </c>
      <c r="P14" s="69">
        <v>0.34110000000000001</v>
      </c>
      <c r="Q14" s="42">
        <f t="shared" si="2"/>
        <v>2.5291534264313356</v>
      </c>
    </row>
    <row r="15" spans="1:17" x14ac:dyDescent="0.3">
      <c r="A15" s="26" t="s">
        <v>29</v>
      </c>
      <c r="B15" s="51">
        <v>8.0000000000000007E-5</v>
      </c>
      <c r="D15" s="36">
        <v>50</v>
      </c>
      <c r="E15" s="37">
        <f t="shared" si="0"/>
        <v>7.563051957699486E-3</v>
      </c>
      <c r="F15" s="38">
        <v>8.9999999999999993E-3</v>
      </c>
      <c r="G15" s="50">
        <f t="shared" si="3"/>
        <v>15.966089358894592</v>
      </c>
      <c r="H15" s="26">
        <f t="shared" si="4"/>
        <v>9</v>
      </c>
      <c r="N15" s="39">
        <v>50</v>
      </c>
      <c r="O15" s="40">
        <f t="shared" si="1"/>
        <v>0.21986939039230544</v>
      </c>
      <c r="P15" s="70">
        <v>0.21709999999999999</v>
      </c>
      <c r="Q15" s="42">
        <f t="shared" si="2"/>
        <v>1.2756289232176181</v>
      </c>
    </row>
    <row r="16" spans="1:17" x14ac:dyDescent="0.3">
      <c r="A16" s="26" t="s">
        <v>30</v>
      </c>
      <c r="B16" s="51">
        <v>5.0000000000000001E-4</v>
      </c>
      <c r="D16" s="43">
        <v>60</v>
      </c>
      <c r="E16" s="37">
        <f t="shared" si="0"/>
        <v>6.3006965384003397E-3</v>
      </c>
      <c r="F16" s="26">
        <v>7.4000000000000003E-3</v>
      </c>
      <c r="G16" s="50">
        <f t="shared" si="3"/>
        <v>14.855452183779198</v>
      </c>
      <c r="H16" s="26">
        <f t="shared" si="4"/>
        <v>22.657599999999999</v>
      </c>
      <c r="N16" s="43">
        <v>60</v>
      </c>
      <c r="O16" s="40">
        <f t="shared" si="1"/>
        <v>0.14982667049404316</v>
      </c>
      <c r="P16" s="69">
        <v>0.14940000000000001</v>
      </c>
      <c r="Q16" s="42">
        <f t="shared" si="2"/>
        <v>0.28558935344254188</v>
      </c>
    </row>
    <row r="17" spans="4:17" x14ac:dyDescent="0.3">
      <c r="D17" s="36">
        <v>80</v>
      </c>
      <c r="E17" s="37">
        <f t="shared" si="0"/>
        <v>4.7219050430575248E-3</v>
      </c>
      <c r="F17" s="38">
        <v>5.4000000000000003E-3</v>
      </c>
      <c r="G17" s="50">
        <f t="shared" si="3"/>
        <v>12.557314017453249</v>
      </c>
      <c r="H17" s="26">
        <f t="shared" si="4"/>
        <v>85.377600000000044</v>
      </c>
      <c r="N17" s="39">
        <v>80</v>
      </c>
      <c r="O17" s="40">
        <f t="shared" si="1"/>
        <v>8.2245544498547082E-2</v>
      </c>
      <c r="P17" s="70">
        <v>8.2799999999999999E-2</v>
      </c>
      <c r="Q17" s="42">
        <f t="shared" si="2"/>
        <v>0.66963224813154132</v>
      </c>
    </row>
    <row r="18" spans="4:17" x14ac:dyDescent="0.3">
      <c r="D18" s="43">
        <v>100</v>
      </c>
      <c r="E18" s="37">
        <f t="shared" si="0"/>
        <v>3.7737721672446325E-3</v>
      </c>
      <c r="F18" s="26">
        <v>4.1999999999999997E-3</v>
      </c>
      <c r="G18" s="50">
        <f t="shared" si="3"/>
        <v>10.148281732270648</v>
      </c>
      <c r="H18" s="26">
        <f t="shared" si="4"/>
        <v>225</v>
      </c>
      <c r="N18" s="43">
        <v>100</v>
      </c>
      <c r="O18" s="40">
        <f t="shared" si="1"/>
        <v>5.1959160674127682E-2</v>
      </c>
      <c r="P18" s="69">
        <v>5.2499999999999998E-2</v>
      </c>
      <c r="Q18" s="42">
        <f t="shared" si="2"/>
        <v>1.0301701445186981</v>
      </c>
    </row>
    <row r="19" spans="4:17" x14ac:dyDescent="0.3">
      <c r="D19" s="36">
        <v>120</v>
      </c>
      <c r="E19" s="37">
        <f t="shared" si="0"/>
        <v>3.1409884443250528E-3</v>
      </c>
      <c r="F19" s="38">
        <v>3.3999999999999998E-3</v>
      </c>
      <c r="G19" s="50">
        <f t="shared" si="3"/>
        <v>7.6179869316160884</v>
      </c>
      <c r="H19" s="26">
        <f t="shared" si="4"/>
        <v>485.76159999999999</v>
      </c>
      <c r="N19" s="39">
        <v>120</v>
      </c>
      <c r="O19" s="40">
        <f t="shared" si="1"/>
        <v>3.5815255097592931E-2</v>
      </c>
      <c r="P19" s="70">
        <v>3.6299999999999999E-2</v>
      </c>
      <c r="Q19" s="42">
        <f t="shared" si="2"/>
        <v>1.3353854060800772</v>
      </c>
    </row>
    <row r="20" spans="4:17" x14ac:dyDescent="0.3">
      <c r="D20" s="43">
        <v>140</v>
      </c>
      <c r="E20" s="37">
        <f t="shared" si="0"/>
        <v>2.6884147096834119E-3</v>
      </c>
      <c r="F20" s="26">
        <v>2.8E-3</v>
      </c>
      <c r="G20" s="50">
        <f t="shared" si="3"/>
        <v>3.9851889398781437</v>
      </c>
      <c r="H20" s="26">
        <f t="shared" si="4"/>
        <v>921.72959999999978</v>
      </c>
      <c r="N20" s="43">
        <v>140</v>
      </c>
      <c r="O20" s="40">
        <f t="shared" si="1"/>
        <v>2.6192098798812982E-2</v>
      </c>
      <c r="P20" s="69">
        <v>2.6499999999999999E-2</v>
      </c>
      <c r="Q20" s="42">
        <f t="shared" si="2"/>
        <v>1.1618913252340293</v>
      </c>
    </row>
    <row r="21" spans="4:17" x14ac:dyDescent="0.3">
      <c r="D21" s="36">
        <v>160</v>
      </c>
      <c r="E21" s="37">
        <f t="shared" si="0"/>
        <v>2.348480302026063E-3</v>
      </c>
      <c r="F21" s="38">
        <v>2.3999999999999998E-3</v>
      </c>
      <c r="G21" s="50">
        <f t="shared" si="3"/>
        <v>2.1466540822473652</v>
      </c>
      <c r="H21" s="26">
        <f t="shared" si="4"/>
        <v>1596.8016000000007</v>
      </c>
      <c r="N21" s="39">
        <v>160</v>
      </c>
      <c r="O21" s="40">
        <f t="shared" si="1"/>
        <v>1.999235699411981E-2</v>
      </c>
      <c r="P21" s="70">
        <v>2.0299999999999999E-2</v>
      </c>
      <c r="Q21" s="42">
        <f t="shared" si="2"/>
        <v>1.5154827875871355</v>
      </c>
    </row>
    <row r="22" spans="4:17" x14ac:dyDescent="0.3">
      <c r="D22" s="43">
        <v>180</v>
      </c>
      <c r="E22" s="37">
        <f t="shared" si="0"/>
        <v>2.0836461058701167E-3</v>
      </c>
      <c r="F22" s="26">
        <v>2.0999999999999999E-3</v>
      </c>
      <c r="G22" s="50">
        <f t="shared" si="3"/>
        <v>0.77875686332777061</v>
      </c>
      <c r="H22" s="26">
        <f t="shared" si="4"/>
        <v>2584.7056000000002</v>
      </c>
      <c r="N22" s="43">
        <v>180</v>
      </c>
      <c r="O22" s="40">
        <f t="shared" si="1"/>
        <v>1.5763138797298015E-2</v>
      </c>
      <c r="P22" s="69">
        <v>1.6E-2</v>
      </c>
      <c r="Q22" s="42">
        <f t="shared" si="2"/>
        <v>1.4803825168874067</v>
      </c>
    </row>
    <row r="23" spans="4:17" x14ac:dyDescent="0.3">
      <c r="D23" s="36">
        <v>200</v>
      </c>
      <c r="E23" s="37">
        <f t="shared" si="0"/>
        <v>1.8713890926374069E-3</v>
      </c>
      <c r="F23" s="38">
        <v>1.9E-3</v>
      </c>
      <c r="G23" s="50">
        <f t="shared" si="3"/>
        <v>1.5058372296101654</v>
      </c>
      <c r="H23" s="26">
        <f t="shared" si="4"/>
        <v>3969</v>
      </c>
      <c r="N23" s="39">
        <v>200</v>
      </c>
      <c r="O23" s="40">
        <f t="shared" si="1"/>
        <v>1.2748749964403493E-2</v>
      </c>
      <c r="P23" s="70">
        <v>1.29E-2</v>
      </c>
      <c r="Q23" s="42">
        <f t="shared" si="2"/>
        <v>1.1724808960969535</v>
      </c>
    </row>
    <row r="24" spans="4:17" x14ac:dyDescent="0.3">
      <c r="D24" s="43">
        <v>220</v>
      </c>
      <c r="E24" s="37">
        <f t="shared" si="0"/>
        <v>1.6973769191335451E-3</v>
      </c>
      <c r="F24" s="26">
        <v>1.6999999999999999E-3</v>
      </c>
      <c r="G24" s="50">
        <f t="shared" si="3"/>
        <v>0.1542988744973412</v>
      </c>
      <c r="H24" s="26">
        <f t="shared" si="4"/>
        <v>5843.0736000000015</v>
      </c>
      <c r="N24" s="43">
        <v>220</v>
      </c>
      <c r="O24" s="40">
        <f t="shared" si="1"/>
        <v>1.0524253852593141E-2</v>
      </c>
      <c r="P24" s="69">
        <v>1.0699999999999999E-2</v>
      </c>
      <c r="Q24" s="42">
        <f t="shared" si="2"/>
        <v>1.6424873589426028</v>
      </c>
    </row>
    <row r="25" spans="4:17" x14ac:dyDescent="0.3">
      <c r="D25" s="36">
        <v>240</v>
      </c>
      <c r="E25" s="37">
        <f t="shared" si="0"/>
        <v>1.5520551608652982E-3</v>
      </c>
      <c r="F25" s="38">
        <v>1.5E-3</v>
      </c>
      <c r="G25" s="50">
        <f t="shared" si="3"/>
        <v>3.470344057686543</v>
      </c>
      <c r="H25" s="26">
        <f t="shared" si="4"/>
        <v>8310.1455999999998</v>
      </c>
      <c r="N25" s="39">
        <v>240</v>
      </c>
      <c r="O25" s="40">
        <f t="shared" si="1"/>
        <v>8.8356680908017304E-3</v>
      </c>
      <c r="P25" s="70">
        <v>8.9999999999999993E-3</v>
      </c>
      <c r="Q25" s="42">
        <f t="shared" si="2"/>
        <v>1.8259101022029884</v>
      </c>
    </row>
    <row r="26" spans="4:17" x14ac:dyDescent="0.3">
      <c r="D26" s="43">
        <v>260</v>
      </c>
      <c r="E26" s="37">
        <f t="shared" si="0"/>
        <v>1.4288096424162435E-3</v>
      </c>
      <c r="F26" s="26">
        <v>1.4E-3</v>
      </c>
      <c r="G26" s="50">
        <f>ABS((E26-F26)*100/F26)</f>
        <v>2.0578316011602533</v>
      </c>
      <c r="H26" s="26">
        <f t="shared" si="4"/>
        <v>11483.265600000002</v>
      </c>
      <c r="N26" s="43">
        <v>260</v>
      </c>
      <c r="O26" s="40">
        <f t="shared" si="1"/>
        <v>7.5235473218808104E-3</v>
      </c>
      <c r="P26" s="26">
        <v>7.6E-3</v>
      </c>
      <c r="Q26" s="42">
        <f t="shared" si="2"/>
        <v>1.0059562910419679</v>
      </c>
    </row>
    <row r="27" spans="4:17" x14ac:dyDescent="0.3">
      <c r="D27" s="36">
        <v>280</v>
      </c>
      <c r="E27" s="37">
        <f t="shared" si="0"/>
        <v>1.3229163289128776E-3</v>
      </c>
      <c r="F27" s="38">
        <v>1.2999999999999999E-3</v>
      </c>
      <c r="G27" s="50">
        <f>ABS((E27-F27)*100/F27)</f>
        <v>1.7627945317598166</v>
      </c>
      <c r="H27" s="26">
        <f t="shared" si="4"/>
        <v>15485.313599999996</v>
      </c>
      <c r="N27" s="39">
        <v>280</v>
      </c>
      <c r="O27" s="40">
        <f t="shared" si="1"/>
        <v>6.483666380611537E-3</v>
      </c>
      <c r="P27" s="41">
        <v>6.6E-3</v>
      </c>
      <c r="Q27" s="42">
        <f t="shared" si="2"/>
        <v>1.7626305967948936</v>
      </c>
    </row>
    <row r="28" spans="4:17" x14ac:dyDescent="0.3">
      <c r="D28" s="29">
        <v>300</v>
      </c>
      <c r="E28" s="66">
        <f t="shared" si="0"/>
        <v>1.2309112551776834E-3</v>
      </c>
      <c r="F28" s="47">
        <v>1.1999999999999999E-3</v>
      </c>
      <c r="G28" s="52">
        <f t="shared" si="3"/>
        <v>2.5759379314736215</v>
      </c>
      <c r="H28" s="26">
        <f t="shared" si="4"/>
        <v>20449</v>
      </c>
      <c r="N28" s="29">
        <v>300</v>
      </c>
      <c r="O28" s="67">
        <f t="shared" si="1"/>
        <v>5.6455492969473622E-3</v>
      </c>
      <c r="P28" s="47">
        <v>5.7000000000000002E-3</v>
      </c>
      <c r="Q28" s="48">
        <f t="shared" si="2"/>
        <v>0.95527549215154328</v>
      </c>
    </row>
    <row r="29" spans="4:17" x14ac:dyDescent="0.3">
      <c r="D29" s="26">
        <v>600</v>
      </c>
      <c r="E29" s="37">
        <f t="shared" si="0"/>
        <v>5.7555563978668365E-4</v>
      </c>
      <c r="F29" s="26">
        <v>5.0000000000000001E-4</v>
      </c>
      <c r="G29" s="35">
        <f t="shared" si="3"/>
        <v>15.111127957336727</v>
      </c>
      <c r="H29" s="26">
        <f t="shared" si="4"/>
        <v>330625</v>
      </c>
      <c r="N29" s="26">
        <v>600</v>
      </c>
      <c r="O29" s="40">
        <f t="shared" si="1"/>
        <v>1.4082787731199004E-3</v>
      </c>
      <c r="P29" s="26">
        <v>1.4E-3</v>
      </c>
      <c r="Q29" s="26">
        <f t="shared" si="2"/>
        <v>0.59134093713574043</v>
      </c>
    </row>
    <row r="30" spans="4:17" x14ac:dyDescent="0.3">
      <c r="N30" s="26">
        <v>11</v>
      </c>
      <c r="O30" s="35">
        <f t="shared" si="1"/>
        <v>0.86778341573273987</v>
      </c>
      <c r="P30" s="26">
        <v>0.85189999999999999</v>
      </c>
      <c r="Q30" s="26">
        <f t="shared" si="2"/>
        <v>1.8644695073060078</v>
      </c>
    </row>
    <row r="31" spans="4:17" x14ac:dyDescent="0.3">
      <c r="N31" s="26">
        <v>12</v>
      </c>
      <c r="O31" s="35">
        <f t="shared" si="1"/>
        <v>0.87572862423547371</v>
      </c>
      <c r="P31" s="26">
        <v>0.65080000000000005</v>
      </c>
      <c r="Q31" s="26">
        <f t="shared" si="2"/>
        <v>34.561866047245488</v>
      </c>
    </row>
    <row r="32" spans="4:17" x14ac:dyDescent="0.3">
      <c r="N32" s="26">
        <v>13</v>
      </c>
      <c r="O32" s="35">
        <f t="shared" si="1"/>
        <v>0.88300326765081694</v>
      </c>
      <c r="P32" s="26">
        <v>0.5897</v>
      </c>
      <c r="Q32" s="26">
        <f t="shared" si="2"/>
        <v>49.737708606209416</v>
      </c>
    </row>
    <row r="33" spans="14:17" x14ac:dyDescent="0.3">
      <c r="N33" s="26">
        <v>14</v>
      </c>
      <c r="O33" s="35">
        <f t="shared" si="1"/>
        <v>0.88913825695202453</v>
      </c>
      <c r="P33" s="26">
        <v>0.63539999999999996</v>
      </c>
      <c r="Q33" s="26">
        <f t="shared" si="2"/>
        <v>39.933625582628984</v>
      </c>
    </row>
    <row r="34" spans="14:17" x14ac:dyDescent="0.3">
      <c r="N34" s="26">
        <v>15</v>
      </c>
      <c r="O34" s="35">
        <f t="shared" si="1"/>
        <v>0.89360603153647922</v>
      </c>
      <c r="P34" s="26">
        <v>0.71160000000000001</v>
      </c>
      <c r="Q34" s="26">
        <f t="shared" si="2"/>
        <v>25.577013987700845</v>
      </c>
    </row>
    <row r="35" spans="14:17" x14ac:dyDescent="0.3">
      <c r="N35" s="26">
        <v>16</v>
      </c>
      <c r="O35" s="35">
        <f t="shared" si="1"/>
        <v>0.89584062468717229</v>
      </c>
      <c r="P35" s="26">
        <v>0.78790000000000004</v>
      </c>
      <c r="Q35" s="26">
        <f t="shared" si="2"/>
        <v>13.699787369865751</v>
      </c>
    </row>
    <row r="36" spans="14:17" x14ac:dyDescent="0.3">
      <c r="N36" s="26">
        <v>17</v>
      </c>
      <c r="O36" s="35">
        <f t="shared" si="1"/>
        <v>0.89527074036527543</v>
      </c>
      <c r="P36" s="26">
        <v>0.8589</v>
      </c>
      <c r="Q36" s="26">
        <f t="shared" si="2"/>
        <v>4.2345721696676488</v>
      </c>
    </row>
    <row r="37" spans="14:17" x14ac:dyDescent="0.3">
      <c r="N37" s="26">
        <v>18</v>
      </c>
      <c r="O37" s="35">
        <f t="shared" si="1"/>
        <v>0.89136546770608105</v>
      </c>
      <c r="P37" s="26">
        <v>0.91810000000000003</v>
      </c>
      <c r="Q37" s="26">
        <f t="shared" si="2"/>
        <v>2.9119412148915127</v>
      </c>
    </row>
    <row r="38" spans="14:17" x14ac:dyDescent="0.3">
      <c r="N38" s="26">
        <v>19</v>
      </c>
      <c r="O38" s="35">
        <f t="shared" si="1"/>
        <v>0.88368870966559043</v>
      </c>
      <c r="P38" s="26">
        <v>0.95909999999999995</v>
      </c>
      <c r="Q38" s="26">
        <f t="shared" si="2"/>
        <v>7.8627140375778879</v>
      </c>
    </row>
    <row r="39" spans="14:17" x14ac:dyDescent="0.3">
      <c r="N39" s="26">
        <v>20</v>
      </c>
      <c r="O39" s="35">
        <f t="shared" si="1"/>
        <v>0.87195436849301988</v>
      </c>
      <c r="P39" s="26">
        <v>0.97770000000000001</v>
      </c>
      <c r="Q39" s="26">
        <f t="shared" si="2"/>
        <v>10.815754475501702</v>
      </c>
    </row>
  </sheetData>
  <mergeCells count="5">
    <mergeCell ref="H1:J1"/>
    <mergeCell ref="E3:F3"/>
    <mergeCell ref="O3:P3"/>
    <mergeCell ref="D4:G4"/>
    <mergeCell ref="N4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DFC4-CFDF-45FA-9862-B3DB23E8D98F}">
  <dimension ref="A1:U29"/>
  <sheetViews>
    <sheetView zoomScale="85" zoomScaleNormal="85" workbookViewId="0">
      <selection activeCell="C24" sqref="C24"/>
    </sheetView>
  </sheetViews>
  <sheetFormatPr defaultColWidth="9.21875" defaultRowHeight="14.4" x14ac:dyDescent="0.3"/>
  <cols>
    <col min="1" max="1" width="13.6640625" style="26" bestFit="1" customWidth="1"/>
    <col min="2" max="2" width="11.88671875" style="26" bestFit="1" customWidth="1"/>
    <col min="3" max="3" width="9.21875" style="26"/>
    <col min="4" max="4" width="10.6640625" style="26" customWidth="1"/>
    <col min="5" max="5" width="11.21875" style="26" customWidth="1"/>
    <col min="6" max="6" width="12.77734375" style="26" customWidth="1"/>
    <col min="7" max="7" width="12" style="26" bestFit="1" customWidth="1"/>
    <col min="8" max="8" width="12.33203125" style="26" bestFit="1" customWidth="1"/>
    <col min="9" max="10" width="12.33203125" style="26" customWidth="1"/>
    <col min="11" max="12" width="9.21875" style="26"/>
    <col min="13" max="13" width="8.21875" style="26" customWidth="1"/>
    <col min="14" max="14" width="10.33203125" style="26" customWidth="1"/>
    <col min="15" max="15" width="10.5546875" style="26" customWidth="1"/>
    <col min="16" max="16" width="11.88671875" style="26" customWidth="1"/>
    <col min="17" max="17" width="13.44140625" style="26" customWidth="1"/>
    <col min="18" max="18" width="9.21875" style="26"/>
    <col min="19" max="19" width="12" style="26" bestFit="1" customWidth="1"/>
    <col min="20" max="16384" width="9.21875" style="26"/>
  </cols>
  <sheetData>
    <row r="1" spans="1:21" ht="31.2" x14ac:dyDescent="0.3">
      <c r="H1" s="91" t="s">
        <v>35</v>
      </c>
      <c r="I1" s="92"/>
      <c r="J1" s="93"/>
    </row>
    <row r="3" spans="1:21" x14ac:dyDescent="0.3">
      <c r="E3" s="88" t="s">
        <v>19</v>
      </c>
      <c r="F3" s="89"/>
      <c r="O3" s="88" t="s">
        <v>20</v>
      </c>
      <c r="P3" s="89"/>
    </row>
    <row r="4" spans="1:21" x14ac:dyDescent="0.3">
      <c r="A4" s="26" t="s">
        <v>38</v>
      </c>
      <c r="B4" s="51">
        <f>$B$7*5</f>
        <v>4.2070999999999998E-4</v>
      </c>
      <c r="D4" s="88" t="s">
        <v>31</v>
      </c>
      <c r="E4" s="90"/>
      <c r="F4" s="90"/>
      <c r="G4" s="89"/>
      <c r="N4" s="88" t="s">
        <v>32</v>
      </c>
      <c r="O4" s="90"/>
      <c r="P4" s="90"/>
      <c r="Q4" s="89"/>
      <c r="U4" s="26" t="s">
        <v>41</v>
      </c>
    </row>
    <row r="5" spans="1:21" x14ac:dyDescent="0.3">
      <c r="A5" s="27" t="s">
        <v>21</v>
      </c>
      <c r="B5" s="28">
        <v>25</v>
      </c>
    </row>
    <row r="6" spans="1:21" x14ac:dyDescent="0.3">
      <c r="A6" s="29" t="s">
        <v>27</v>
      </c>
      <c r="B6" s="30">
        <f>2*PI()*B5</f>
        <v>157.07963267948966</v>
      </c>
      <c r="D6" s="31" t="s">
        <v>22</v>
      </c>
      <c r="E6" s="32" t="s">
        <v>18</v>
      </c>
      <c r="F6" s="32" t="s">
        <v>23</v>
      </c>
      <c r="G6" s="33" t="s">
        <v>24</v>
      </c>
      <c r="H6" s="34" t="s">
        <v>36</v>
      </c>
      <c r="I6" s="34" t="s">
        <v>37</v>
      </c>
      <c r="J6" s="34"/>
      <c r="N6" s="31" t="s">
        <v>22</v>
      </c>
      <c r="O6" s="32" t="s">
        <v>18</v>
      </c>
      <c r="P6" s="32" t="s">
        <v>23</v>
      </c>
      <c r="Q6" s="33" t="s">
        <v>24</v>
      </c>
      <c r="R6" s="26" t="s">
        <v>36</v>
      </c>
      <c r="S6" s="26" t="s">
        <v>37</v>
      </c>
      <c r="U6" s="34" t="s">
        <v>42</v>
      </c>
    </row>
    <row r="7" spans="1:21" x14ac:dyDescent="0.3">
      <c r="A7" s="26" t="s">
        <v>14</v>
      </c>
      <c r="B7" s="51">
        <v>8.4141999999999995E-5</v>
      </c>
      <c r="D7" s="36">
        <v>5</v>
      </c>
      <c r="E7" s="37">
        <f>1/SQRT(H7+I7)</f>
        <v>2.555205411695541E-3</v>
      </c>
      <c r="F7" s="38">
        <v>0.19989999999999999</v>
      </c>
      <c r="G7" s="50">
        <f>ABS((E7-F7)*100/F7)</f>
        <v>98.721758173238854</v>
      </c>
      <c r="H7" s="75">
        <f>(1+$B$9*(1-($B$5/D7)^2))^2</f>
        <v>14.440000000000005</v>
      </c>
      <c r="I7" s="26">
        <f>($B$13^2)*(D7/$B$5-$B$5/D7)^2</f>
        <v>153146.61980822205</v>
      </c>
      <c r="N7" s="39">
        <v>5</v>
      </c>
      <c r="O7" s="40">
        <f>1/SQRT(R7+S7)</f>
        <v>0.11493596294754066</v>
      </c>
      <c r="P7" s="41">
        <v>0.31209999999999999</v>
      </c>
      <c r="Q7" s="72">
        <f>ABS((O7-P7)*100/P7)</f>
        <v>63.173353749586461</v>
      </c>
      <c r="R7" s="75">
        <f>(1+$B$9*(1-($B$5/N7)^2))^2</f>
        <v>14.440000000000005</v>
      </c>
      <c r="S7" s="26">
        <f>($L$13^2)*(N7/$B$5-$B$5/D7)^2</f>
        <v>61.258647923288819</v>
      </c>
    </row>
    <row r="8" spans="1:21" x14ac:dyDescent="0.3">
      <c r="A8" s="26" t="s">
        <v>15</v>
      </c>
      <c r="B8" s="51">
        <v>4.8167E-7</v>
      </c>
      <c r="D8" s="43">
        <v>10</v>
      </c>
      <c r="E8" s="37">
        <f t="shared" ref="E8:E29" si="0">1/SQRT(H8+I8)</f>
        <v>5.8407446021116523E-3</v>
      </c>
      <c r="F8" s="26">
        <v>1.2500000000000001E-2</v>
      </c>
      <c r="G8" s="50">
        <f>ABS((E8-F8)*100/F8)</f>
        <v>53.274043183106784</v>
      </c>
      <c r="H8" s="75">
        <f t="shared" ref="H8:H29" si="1">(1+$B$9*(1-($B$5/D8)^2))^2</f>
        <v>2.5000000000000044E-3</v>
      </c>
      <c r="I8" s="26">
        <f t="shared" ref="I8:I29" si="2">($B$13^2)*(D8/$B$5-$B$5/D8)^2</f>
        <v>29313.220197667502</v>
      </c>
      <c r="N8" s="43">
        <v>10</v>
      </c>
      <c r="O8" s="40">
        <f t="shared" ref="O8:O29" si="3">1/SQRT(R8+S8)</f>
        <v>0.29200611426709605</v>
      </c>
      <c r="P8" s="26">
        <v>0.37490000000000001</v>
      </c>
      <c r="Q8" s="72">
        <f t="shared" ref="Q8:Q29" si="4">ABS((O8-P8)*100/P8)</f>
        <v>22.110932444092811</v>
      </c>
      <c r="R8" s="75">
        <f t="shared" ref="R8:R29" si="5">(1+$B$9*(1-($B$5/N8)^2))^2</f>
        <v>2.5000000000000044E-3</v>
      </c>
      <c r="S8" s="26">
        <f t="shared" ref="S8:S29" si="6">($L$13^2)*(N8/$B$5-$B$5/D8)^2</f>
        <v>11.725288079067001</v>
      </c>
    </row>
    <row r="9" spans="1:21" x14ac:dyDescent="0.3">
      <c r="A9" s="26" t="s">
        <v>39</v>
      </c>
      <c r="B9" s="26">
        <f>$B$7/$B$4</f>
        <v>0.2</v>
      </c>
      <c r="D9" s="36">
        <v>15</v>
      </c>
      <c r="E9" s="37">
        <f t="shared" si="0"/>
        <v>1.1498650707639233E-2</v>
      </c>
      <c r="F9" s="44">
        <v>1.2500000000000001E-2</v>
      </c>
      <c r="G9" s="50">
        <f t="shared" ref="G9:G29" si="7">ABS((E9-F9)*100/F9)</f>
        <v>8.0107943388861411</v>
      </c>
      <c r="H9" s="75">
        <f t="shared" si="1"/>
        <v>0.41530864197530853</v>
      </c>
      <c r="I9" s="26">
        <f t="shared" si="2"/>
        <v>7562.796039912203</v>
      </c>
      <c r="N9" s="39">
        <v>15</v>
      </c>
      <c r="O9" s="40">
        <f t="shared" si="3"/>
        <v>0.53913040195125816</v>
      </c>
      <c r="P9" s="41">
        <v>0.62250000000000005</v>
      </c>
      <c r="Q9" s="72">
        <f t="shared" si="4"/>
        <v>13.392706513854117</v>
      </c>
      <c r="R9" s="75">
        <f t="shared" si="5"/>
        <v>0.41530864197530853</v>
      </c>
      <c r="S9" s="26">
        <f t="shared" si="6"/>
        <v>3.0251184159648812</v>
      </c>
    </row>
    <row r="10" spans="1:21" x14ac:dyDescent="0.3">
      <c r="A10" s="27" t="s">
        <v>5</v>
      </c>
      <c r="B10" s="28">
        <v>0.2</v>
      </c>
      <c r="D10" s="43">
        <v>20</v>
      </c>
      <c r="E10" s="37">
        <f t="shared" si="0"/>
        <v>2.7248837783991332E-2</v>
      </c>
      <c r="F10" s="26">
        <v>2.7799999999999998E-2</v>
      </c>
      <c r="G10" s="50">
        <f t="shared" si="7"/>
        <v>1.9825978993117508</v>
      </c>
      <c r="H10" s="75">
        <f t="shared" si="1"/>
        <v>0.78765624999999995</v>
      </c>
      <c r="I10" s="26">
        <f t="shared" si="2"/>
        <v>1346.0152131582013</v>
      </c>
      <c r="K10" s="27" t="s">
        <v>5</v>
      </c>
      <c r="L10" s="28">
        <v>10</v>
      </c>
      <c r="N10" s="43">
        <v>20</v>
      </c>
      <c r="O10" s="40">
        <f t="shared" si="3"/>
        <v>0.86839643144553058</v>
      </c>
      <c r="P10" s="26">
        <v>1.0118</v>
      </c>
      <c r="Q10" s="72">
        <f t="shared" si="4"/>
        <v>14.173114108961203</v>
      </c>
      <c r="R10" s="75">
        <f t="shared" si="5"/>
        <v>0.78765624999999995</v>
      </c>
      <c r="S10" s="26">
        <f t="shared" si="6"/>
        <v>0.5384060852632806</v>
      </c>
    </row>
    <row r="11" spans="1:21" x14ac:dyDescent="0.3">
      <c r="A11" s="43" t="s">
        <v>6</v>
      </c>
      <c r="B11" s="45">
        <f>(8*B10)/PI()^2</f>
        <v>0.16211389382774044</v>
      </c>
      <c r="D11" s="56">
        <v>25</v>
      </c>
      <c r="E11" s="57">
        <f t="shared" si="0"/>
        <v>1</v>
      </c>
      <c r="F11" s="58">
        <v>0.99970000000000003</v>
      </c>
      <c r="G11" s="68">
        <f>ABS((E11-F11)*100/F11)</f>
        <v>3.0009002700806937E-2</v>
      </c>
      <c r="H11" s="75">
        <f t="shared" si="1"/>
        <v>1</v>
      </c>
      <c r="I11" s="26">
        <f t="shared" si="2"/>
        <v>0</v>
      </c>
      <c r="K11" s="43" t="s">
        <v>6</v>
      </c>
      <c r="L11" s="45">
        <f>(8*L10)/PI()^2</f>
        <v>8.105694691387022</v>
      </c>
      <c r="N11" s="59">
        <v>25</v>
      </c>
      <c r="O11" s="40">
        <f t="shared" si="3"/>
        <v>1</v>
      </c>
      <c r="P11" s="61">
        <v>1</v>
      </c>
      <c r="Q11" s="73">
        <f t="shared" si="4"/>
        <v>0</v>
      </c>
      <c r="R11" s="75">
        <f t="shared" si="5"/>
        <v>1</v>
      </c>
      <c r="S11" s="26">
        <f t="shared" si="6"/>
        <v>0</v>
      </c>
    </row>
    <row r="12" spans="1:21" x14ac:dyDescent="0.3">
      <c r="A12" s="43"/>
      <c r="B12" s="45"/>
      <c r="D12" s="43">
        <v>30</v>
      </c>
      <c r="E12" s="37">
        <f t="shared" si="0"/>
        <v>3.3430484923306032E-2</v>
      </c>
      <c r="F12" s="26">
        <v>3.3099999999999997E-2</v>
      </c>
      <c r="G12" s="50">
        <f t="shared" si="7"/>
        <v>0.99844387705750681</v>
      </c>
      <c r="H12" s="75">
        <f t="shared" si="1"/>
        <v>1.1259567901234568</v>
      </c>
      <c r="I12" s="26">
        <f t="shared" si="2"/>
        <v>893.65070393493738</v>
      </c>
      <c r="K12" s="43"/>
      <c r="L12" s="45"/>
      <c r="N12" s="43">
        <v>30</v>
      </c>
      <c r="O12" s="40">
        <f t="shared" si="3"/>
        <v>0.82104765235136867</v>
      </c>
      <c r="P12" s="26">
        <v>0.77110000000000001</v>
      </c>
      <c r="Q12" s="72">
        <f t="shared" si="4"/>
        <v>6.4774545910217434</v>
      </c>
      <c r="R12" s="75">
        <f t="shared" si="5"/>
        <v>1.1259567901234568</v>
      </c>
      <c r="S12" s="26">
        <f t="shared" si="6"/>
        <v>0.35746028157397497</v>
      </c>
    </row>
    <row r="13" spans="1:21" x14ac:dyDescent="0.3">
      <c r="A13" s="29" t="s">
        <v>7</v>
      </c>
      <c r="B13" s="55">
        <f>(2*PI()*B5*1000*B7)/B11</f>
        <v>81.529066638555861</v>
      </c>
      <c r="D13" s="36">
        <v>35</v>
      </c>
      <c r="E13" s="37">
        <f t="shared" si="0"/>
        <v>1.7883832451490923E-2</v>
      </c>
      <c r="F13" s="38">
        <v>1.7600000000000001E-2</v>
      </c>
      <c r="G13" s="50">
        <f t="shared" si="7"/>
        <v>1.6126843834711491</v>
      </c>
      <c r="H13" s="75">
        <f t="shared" si="1"/>
        <v>1.2055143690129115</v>
      </c>
      <c r="I13" s="26">
        <f t="shared" si="2"/>
        <v>3125.4412205759591</v>
      </c>
      <c r="K13" s="29" t="s">
        <v>7</v>
      </c>
      <c r="L13" s="55">
        <f>(2*PI()*B5*1000*B7)/L11</f>
        <v>1.6305813327711172</v>
      </c>
      <c r="N13" s="39">
        <v>35</v>
      </c>
      <c r="O13" s="40">
        <f t="shared" si="3"/>
        <v>0.63813586424145896</v>
      </c>
      <c r="P13" s="41">
        <v>0.58609999999999995</v>
      </c>
      <c r="Q13" s="72">
        <f t="shared" si="4"/>
        <v>8.8783252416753129</v>
      </c>
      <c r="R13" s="75">
        <f t="shared" si="5"/>
        <v>1.2055143690129115</v>
      </c>
      <c r="S13" s="26">
        <f t="shared" si="6"/>
        <v>1.2501764882303839</v>
      </c>
    </row>
    <row r="14" spans="1:21" x14ac:dyDescent="0.3">
      <c r="D14" s="43">
        <v>40</v>
      </c>
      <c r="E14" s="37">
        <f t="shared" si="0"/>
        <v>1.2578813145603961E-2</v>
      </c>
      <c r="F14" s="26">
        <v>1.23E-2</v>
      </c>
      <c r="G14" s="50">
        <f t="shared" si="7"/>
        <v>2.2667735414956134</v>
      </c>
      <c r="H14" s="75">
        <f t="shared" si="1"/>
        <v>1.2586035156249999</v>
      </c>
      <c r="I14" s="26">
        <f t="shared" si="2"/>
        <v>6318.7936395482247</v>
      </c>
      <c r="N14" s="43">
        <v>40</v>
      </c>
      <c r="O14" s="40">
        <f t="shared" si="3"/>
        <v>0.51392856473864756</v>
      </c>
      <c r="P14" s="26">
        <v>0.47220000000000001</v>
      </c>
      <c r="Q14" s="72">
        <f t="shared" si="4"/>
        <v>8.8370531000947814</v>
      </c>
      <c r="R14" s="75">
        <f t="shared" si="5"/>
        <v>1.2586035156249999</v>
      </c>
      <c r="S14" s="26">
        <f t="shared" si="6"/>
        <v>2.5275174558192903</v>
      </c>
    </row>
    <row r="15" spans="1:21" x14ac:dyDescent="0.3">
      <c r="A15" s="26" t="s">
        <v>40</v>
      </c>
      <c r="B15" s="75">
        <f>1/(2*PI()*SQRT((B7+B4)*B8)*1000)</f>
        <v>10.206181615136655</v>
      </c>
      <c r="D15" s="36">
        <v>50</v>
      </c>
      <c r="E15" s="37">
        <f t="shared" si="0"/>
        <v>8.1766812771707099E-3</v>
      </c>
      <c r="F15" s="38">
        <v>8.0000000000000002E-3</v>
      </c>
      <c r="G15" s="50">
        <f t="shared" si="7"/>
        <v>2.2085159646338712</v>
      </c>
      <c r="H15" s="75">
        <f t="shared" si="1"/>
        <v>1.3224999999999998</v>
      </c>
      <c r="I15" s="26">
        <f t="shared" si="2"/>
        <v>14955.724590646685</v>
      </c>
      <c r="N15" s="39">
        <v>50</v>
      </c>
      <c r="O15" s="40">
        <f t="shared" si="3"/>
        <v>0.36999524030383962</v>
      </c>
      <c r="P15" s="41">
        <v>0.34399999999999997</v>
      </c>
      <c r="Q15" s="72">
        <f t="shared" si="4"/>
        <v>7.5567559022789696</v>
      </c>
      <c r="R15" s="75">
        <f t="shared" si="5"/>
        <v>1.3224999999999998</v>
      </c>
      <c r="S15" s="26">
        <f t="shared" si="6"/>
        <v>5.9822898362586745</v>
      </c>
    </row>
    <row r="16" spans="1:21" x14ac:dyDescent="0.3">
      <c r="D16" s="43">
        <v>60</v>
      </c>
      <c r="E16" s="37">
        <f t="shared" si="0"/>
        <v>6.1841574991892872E-3</v>
      </c>
      <c r="F16" s="26">
        <v>6.0000000000000001E-3</v>
      </c>
      <c r="G16" s="50">
        <f t="shared" si="7"/>
        <v>3.0692916531547838</v>
      </c>
      <c r="H16" s="75">
        <f t="shared" si="1"/>
        <v>1.3578722993827161</v>
      </c>
      <c r="I16" s="26">
        <f t="shared" si="2"/>
        <v>26146.668633104651</v>
      </c>
      <c r="N16" s="43">
        <v>60</v>
      </c>
      <c r="O16" s="40">
        <f t="shared" si="3"/>
        <v>0.29090744756689185</v>
      </c>
      <c r="P16" s="26">
        <v>0.2732</v>
      </c>
      <c r="Q16" s="72">
        <f t="shared" si="4"/>
        <v>6.4814961811463592</v>
      </c>
      <c r="R16" s="75">
        <f t="shared" si="5"/>
        <v>1.3578722993827161</v>
      </c>
      <c r="S16" s="26">
        <f t="shared" si="6"/>
        <v>10.45866745324186</v>
      </c>
    </row>
    <row r="17" spans="4:19" x14ac:dyDescent="0.3">
      <c r="D17" s="36">
        <v>80</v>
      </c>
      <c r="E17" s="37">
        <f t="shared" si="0"/>
        <v>4.2477610340039421E-3</v>
      </c>
      <c r="F17" s="38">
        <v>4.1000000000000003E-3</v>
      </c>
      <c r="G17" s="50">
        <f t="shared" si="7"/>
        <v>3.6039276586327254</v>
      </c>
      <c r="H17" s="75">
        <f t="shared" si="1"/>
        <v>1.3935064697265624</v>
      </c>
      <c r="I17" s="26">
        <f t="shared" si="2"/>
        <v>55420.306936215122</v>
      </c>
      <c r="N17" s="39">
        <v>80</v>
      </c>
      <c r="O17" s="40">
        <f t="shared" si="3"/>
        <v>0.20601428772975031</v>
      </c>
      <c r="P17" s="41">
        <v>0.19589999999999999</v>
      </c>
      <c r="Q17" s="72">
        <f t="shared" si="4"/>
        <v>5.1629850585759653</v>
      </c>
      <c r="R17" s="75">
        <f t="shared" si="5"/>
        <v>1.3935064697265624</v>
      </c>
      <c r="S17" s="26">
        <f t="shared" si="6"/>
        <v>22.168122774486051</v>
      </c>
    </row>
    <row r="18" spans="4:19" x14ac:dyDescent="0.3">
      <c r="D18" s="43">
        <v>100</v>
      </c>
      <c r="E18" s="37">
        <f t="shared" si="0"/>
        <v>3.2707924448438443E-3</v>
      </c>
      <c r="F18" s="26">
        <v>3.2000000000000002E-3</v>
      </c>
      <c r="G18" s="50">
        <f t="shared" si="7"/>
        <v>2.2122639013701288</v>
      </c>
      <c r="H18" s="75">
        <f t="shared" si="1"/>
        <v>1.41015625</v>
      </c>
      <c r="I18" s="26">
        <f t="shared" si="2"/>
        <v>93473.278691541782</v>
      </c>
      <c r="N18" s="43">
        <v>100</v>
      </c>
      <c r="O18" s="40">
        <f t="shared" si="3"/>
        <v>0.16054142595539908</v>
      </c>
      <c r="P18" s="26">
        <v>0.15359999999999999</v>
      </c>
      <c r="Q18" s="72">
        <f t="shared" si="4"/>
        <v>4.5191575230462862</v>
      </c>
      <c r="R18" s="75">
        <f t="shared" si="5"/>
        <v>1.41015625</v>
      </c>
      <c r="S18" s="26">
        <f t="shared" si="6"/>
        <v>37.389311476616712</v>
      </c>
    </row>
    <row r="19" spans="4:19" x14ac:dyDescent="0.3">
      <c r="D19" s="36">
        <v>120</v>
      </c>
      <c r="E19" s="37">
        <f t="shared" si="0"/>
        <v>2.6712527215601101E-3</v>
      </c>
      <c r="F19" s="38">
        <v>2.5999999999999999E-3</v>
      </c>
      <c r="G19" s="50">
        <f t="shared" si="7"/>
        <v>2.7404892907734699</v>
      </c>
      <c r="H19" s="75">
        <f t="shared" si="1"/>
        <v>1.4192420187114196</v>
      </c>
      <c r="I19" s="26">
        <f t="shared" si="2"/>
        <v>140141.14016805321</v>
      </c>
      <c r="N19" s="39">
        <v>120</v>
      </c>
      <c r="O19" s="40">
        <f t="shared" si="3"/>
        <v>0.13190397170310333</v>
      </c>
      <c r="P19" s="41">
        <v>0.12670000000000001</v>
      </c>
      <c r="Q19" s="72">
        <f t="shared" si="4"/>
        <v>4.1073178398605581</v>
      </c>
      <c r="R19" s="75">
        <f t="shared" si="5"/>
        <v>1.4192420187114196</v>
      </c>
      <c r="S19" s="26">
        <f t="shared" si="6"/>
        <v>56.056456067221283</v>
      </c>
    </row>
    <row r="20" spans="4:19" x14ac:dyDescent="0.3">
      <c r="D20" s="43">
        <v>140</v>
      </c>
      <c r="E20" s="37">
        <f t="shared" si="0"/>
        <v>2.2624146573691052E-3</v>
      </c>
      <c r="F20" s="26">
        <v>2.2000000000000001E-3</v>
      </c>
      <c r="G20" s="50">
        <f t="shared" si="7"/>
        <v>2.8370298804138687</v>
      </c>
      <c r="H20" s="75">
        <f t="shared" si="1"/>
        <v>1.4247345507080384</v>
      </c>
      <c r="I20" s="26">
        <f t="shared" si="2"/>
        <v>195367.54598422517</v>
      </c>
      <c r="N20" s="43">
        <v>140</v>
      </c>
      <c r="O20" s="40">
        <f t="shared" si="3"/>
        <v>0.11210385240757291</v>
      </c>
      <c r="P20" s="26">
        <v>0.1079</v>
      </c>
      <c r="Q20" s="72">
        <f t="shared" si="4"/>
        <v>3.8960633990481131</v>
      </c>
      <c r="R20" s="75">
        <f t="shared" si="5"/>
        <v>1.4247345507080384</v>
      </c>
      <c r="S20" s="26">
        <f t="shared" si="6"/>
        <v>78.147018393690075</v>
      </c>
    </row>
    <row r="21" spans="4:19" x14ac:dyDescent="0.3">
      <c r="D21" s="36">
        <v>160</v>
      </c>
      <c r="E21" s="37">
        <f t="shared" si="0"/>
        <v>1.9644493107576835E-3</v>
      </c>
      <c r="F21" s="38">
        <v>1.9E-3</v>
      </c>
      <c r="G21" s="50">
        <f t="shared" si="7"/>
        <v>3.392068987246502</v>
      </c>
      <c r="H21" s="75">
        <f t="shared" si="1"/>
        <v>1.4283050918579101</v>
      </c>
      <c r="I21" s="26">
        <f t="shared" si="2"/>
        <v>259128.96002065946</v>
      </c>
      <c r="N21" s="39">
        <v>160</v>
      </c>
      <c r="O21" s="40">
        <f t="shared" si="3"/>
        <v>9.7552902857780302E-2</v>
      </c>
      <c r="P21" s="41">
        <v>9.4100000000000003E-2</v>
      </c>
      <c r="Q21" s="72">
        <f t="shared" si="4"/>
        <v>3.6693972983850145</v>
      </c>
      <c r="R21" s="75">
        <f t="shared" si="5"/>
        <v>1.4283050918579101</v>
      </c>
      <c r="S21" s="26">
        <f t="shared" si="6"/>
        <v>103.65158400826378</v>
      </c>
    </row>
    <row r="22" spans="4:19" x14ac:dyDescent="0.3">
      <c r="D22" s="43">
        <v>180</v>
      </c>
      <c r="E22" s="37">
        <f t="shared" si="0"/>
        <v>1.7370549080134667E-3</v>
      </c>
      <c r="F22" s="26">
        <v>1.6999999999999999E-3</v>
      </c>
      <c r="G22" s="50">
        <f t="shared" si="7"/>
        <v>2.1797004713804022</v>
      </c>
      <c r="H22" s="75">
        <f t="shared" si="1"/>
        <v>1.4307556250952598</v>
      </c>
      <c r="I22" s="26">
        <f t="shared" si="2"/>
        <v>331414.13838736445</v>
      </c>
      <c r="N22" s="43">
        <v>180</v>
      </c>
      <c r="O22" s="40">
        <f t="shared" si="3"/>
        <v>8.6387999462353815E-2</v>
      </c>
      <c r="P22" s="26">
        <v>8.3400000000000002E-2</v>
      </c>
      <c r="Q22" s="72">
        <f t="shared" si="4"/>
        <v>3.5827331682899435</v>
      </c>
      <c r="R22" s="75">
        <f t="shared" si="5"/>
        <v>1.4307556250952598</v>
      </c>
      <c r="S22" s="26">
        <f t="shared" si="6"/>
        <v>132.56565535494579</v>
      </c>
    </row>
    <row r="23" spans="4:19" x14ac:dyDescent="0.3">
      <c r="D23" s="36">
        <v>200</v>
      </c>
      <c r="E23" s="37">
        <f t="shared" si="0"/>
        <v>1.557529254005183E-3</v>
      </c>
      <c r="F23" s="38">
        <v>1.5E-3</v>
      </c>
      <c r="G23" s="50">
        <f t="shared" si="7"/>
        <v>3.8352836003455297</v>
      </c>
      <c r="H23" s="75">
        <f t="shared" si="1"/>
        <v>1.4325097656249999</v>
      </c>
      <c r="I23" s="26">
        <f t="shared" si="2"/>
        <v>412217.15902969922</v>
      </c>
      <c r="N23" s="39">
        <v>200</v>
      </c>
      <c r="O23" s="40">
        <f t="shared" si="3"/>
        <v>7.7540496936360781E-2</v>
      </c>
      <c r="P23" s="41">
        <v>7.4899999999999994E-2</v>
      </c>
      <c r="Q23" s="72">
        <f t="shared" si="4"/>
        <v>3.5253630659022521</v>
      </c>
      <c r="R23" s="75">
        <f t="shared" si="5"/>
        <v>1.4325097656249999</v>
      </c>
      <c r="S23" s="26">
        <f t="shared" si="6"/>
        <v>164.8868636118797</v>
      </c>
    </row>
    <row r="24" spans="4:19" x14ac:dyDescent="0.3">
      <c r="D24" s="43">
        <v>220</v>
      </c>
      <c r="E24" s="37">
        <f t="shared" si="0"/>
        <v>1.4120461873722628E-3</v>
      </c>
      <c r="F24" s="26">
        <v>1.4E-3</v>
      </c>
      <c r="G24" s="50">
        <f t="shared" si="7"/>
        <v>0.86044195516162991</v>
      </c>
      <c r="H24" s="75">
        <f t="shared" si="1"/>
        <v>1.4338083229458374</v>
      </c>
      <c r="I24" s="26">
        <f t="shared" si="2"/>
        <v>501534.6621010013</v>
      </c>
      <c r="N24" s="43">
        <v>220</v>
      </c>
      <c r="O24" s="40">
        <f t="shared" si="3"/>
        <v>7.035145328871209E-2</v>
      </c>
      <c r="P24" s="26">
        <v>6.8000000000000005E-2</v>
      </c>
      <c r="Q24" s="72">
        <f t="shared" si="4"/>
        <v>3.4580195422236546</v>
      </c>
      <c r="R24" s="75">
        <f t="shared" si="5"/>
        <v>1.4338083229458374</v>
      </c>
      <c r="S24" s="26">
        <f t="shared" si="6"/>
        <v>200.61386484040054</v>
      </c>
    </row>
    <row r="25" spans="4:19" x14ac:dyDescent="0.3">
      <c r="D25" s="36">
        <v>240</v>
      </c>
      <c r="E25" s="37">
        <f t="shared" si="0"/>
        <v>1.2916769993643463E-3</v>
      </c>
      <c r="F25" s="38">
        <v>1.2999999999999999E-3</v>
      </c>
      <c r="G25" s="50">
        <f t="shared" si="7"/>
        <v>0.64023081812720051</v>
      </c>
      <c r="H25" s="75">
        <f t="shared" si="1"/>
        <v>1.4347963761694638</v>
      </c>
      <c r="I25" s="26">
        <f t="shared" si="2"/>
        <v>599364.62626241497</v>
      </c>
      <c r="N25" s="39">
        <v>240</v>
      </c>
      <c r="O25" s="40">
        <f t="shared" si="3"/>
        <v>6.4391534111358478E-2</v>
      </c>
      <c r="P25" s="41">
        <v>6.2300000000000001E-2</v>
      </c>
      <c r="Q25" s="72">
        <f t="shared" si="4"/>
        <v>3.3571976105272503</v>
      </c>
      <c r="R25" s="75">
        <f t="shared" si="5"/>
        <v>1.4347963761694638</v>
      </c>
      <c r="S25" s="26">
        <f t="shared" si="6"/>
        <v>239.74585050496597</v>
      </c>
    </row>
    <row r="26" spans="4:19" x14ac:dyDescent="0.3">
      <c r="D26" s="43">
        <v>260</v>
      </c>
      <c r="E26" s="37">
        <f t="shared" si="0"/>
        <v>1.1903857577924687E-3</v>
      </c>
      <c r="F26" s="26">
        <v>1.1999999999999999E-3</v>
      </c>
      <c r="G26" s="50">
        <f t="shared" si="7"/>
        <v>0.80118685062759831</v>
      </c>
      <c r="H26" s="75">
        <f t="shared" si="1"/>
        <v>1.4355655493942792</v>
      </c>
      <c r="I26" s="26">
        <f t="shared" si="2"/>
        <v>705705.77627731406</v>
      </c>
      <c r="N26" s="43">
        <v>260</v>
      </c>
      <c r="O26" s="40">
        <f t="shared" si="3"/>
        <v>5.9368578436052623E-2</v>
      </c>
      <c r="P26" s="26">
        <v>5.74E-2</v>
      </c>
      <c r="Q26" s="72">
        <f t="shared" si="4"/>
        <v>3.4295791568861032</v>
      </c>
      <c r="R26" s="75">
        <f t="shared" si="5"/>
        <v>1.4355655493942792</v>
      </c>
      <c r="S26" s="26">
        <f t="shared" si="6"/>
        <v>282.28231051092564</v>
      </c>
    </row>
    <row r="27" spans="4:19" x14ac:dyDescent="0.3">
      <c r="D27" s="36">
        <v>280</v>
      </c>
      <c r="E27" s="37">
        <f t="shared" si="0"/>
        <v>1.1039392372269655E-3</v>
      </c>
      <c r="F27" s="38">
        <v>1.1000000000000001E-3</v>
      </c>
      <c r="G27" s="50">
        <f t="shared" si="7"/>
        <v>0.35811247517867251</v>
      </c>
      <c r="H27" s="75">
        <f t="shared" si="1"/>
        <v>1.436176011460069</v>
      </c>
      <c r="I27" s="26">
        <f t="shared" si="2"/>
        <v>820557.27537342522</v>
      </c>
      <c r="N27" s="39">
        <v>280</v>
      </c>
      <c r="O27" s="40">
        <f t="shared" si="3"/>
        <v>5.5076644683948628E-2</v>
      </c>
      <c r="P27" s="41">
        <v>5.3199999999999997E-2</v>
      </c>
      <c r="Q27" s="72">
        <f t="shared" si="4"/>
        <v>3.5275276014072006</v>
      </c>
      <c r="R27" s="75">
        <f t="shared" si="5"/>
        <v>1.436176011460069</v>
      </c>
      <c r="S27" s="26">
        <f t="shared" si="6"/>
        <v>328.22291014937008</v>
      </c>
    </row>
    <row r="28" spans="4:19" x14ac:dyDescent="0.3">
      <c r="D28" s="29">
        <v>300</v>
      </c>
      <c r="E28" s="37">
        <f t="shared" si="0"/>
        <v>1.0292773303409912E-3</v>
      </c>
      <c r="F28" s="47">
        <v>1E-3</v>
      </c>
      <c r="G28" s="52">
        <f t="shared" si="7"/>
        <v>2.9277330340991186</v>
      </c>
      <c r="H28" s="75">
        <f t="shared" si="1"/>
        <v>1.4366685956790122</v>
      </c>
      <c r="I28" s="26">
        <f t="shared" si="2"/>
        <v>943918.55603127787</v>
      </c>
      <c r="N28" s="29">
        <v>300</v>
      </c>
      <c r="O28" s="40">
        <f t="shared" si="3"/>
        <v>5.1366272465157375E-2</v>
      </c>
      <c r="P28" s="47">
        <v>4.9700000000000001E-2</v>
      </c>
      <c r="Q28" s="74">
        <f t="shared" si="4"/>
        <v>3.3526608956888819</v>
      </c>
      <c r="R28" s="75">
        <f t="shared" si="5"/>
        <v>1.4366685956790122</v>
      </c>
      <c r="S28" s="26">
        <f t="shared" si="6"/>
        <v>377.56742241251112</v>
      </c>
    </row>
    <row r="29" spans="4:19" x14ac:dyDescent="0.3">
      <c r="D29" s="26">
        <v>600</v>
      </c>
      <c r="E29" s="37">
        <f t="shared" si="0"/>
        <v>5.1195388692236671E-4</v>
      </c>
      <c r="F29" s="26">
        <v>5.0000000000000001E-4</v>
      </c>
      <c r="G29" s="35">
        <f t="shared" si="7"/>
        <v>2.3907773844733398</v>
      </c>
      <c r="H29" s="75">
        <f t="shared" si="1"/>
        <v>1.4391667872299381</v>
      </c>
      <c r="I29" s="26">
        <f t="shared" si="2"/>
        <v>3815383.0577025926</v>
      </c>
      <c r="N29" s="26">
        <v>600</v>
      </c>
      <c r="O29" s="40">
        <f t="shared" si="3"/>
        <v>2.5585638352025309E-2</v>
      </c>
      <c r="P29" s="26">
        <v>2.4799999999999999E-2</v>
      </c>
      <c r="Q29" s="35">
        <f t="shared" si="4"/>
        <v>3.1678965807472173</v>
      </c>
      <c r="R29" s="75">
        <f t="shared" si="5"/>
        <v>1.4391667872299381</v>
      </c>
      <c r="S29" s="26">
        <f t="shared" si="6"/>
        <v>1526.1532230810371</v>
      </c>
    </row>
  </sheetData>
  <mergeCells count="5">
    <mergeCell ref="H1:J1"/>
    <mergeCell ref="E3:F3"/>
    <mergeCell ref="O3:P3"/>
    <mergeCell ref="D4:G4"/>
    <mergeCell ref="N4:Q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65DF-492B-4706-A039-834E30FADF10}">
  <dimension ref="A1:U29"/>
  <sheetViews>
    <sheetView tabSelected="1" workbookViewId="0">
      <selection activeCell="B7" sqref="B7"/>
    </sheetView>
  </sheetViews>
  <sheetFormatPr defaultColWidth="9.21875" defaultRowHeight="14.4" x14ac:dyDescent="0.3"/>
  <cols>
    <col min="1" max="1" width="13.6640625" style="26" bestFit="1" customWidth="1"/>
    <col min="2" max="2" width="11.88671875" style="26" bestFit="1" customWidth="1"/>
    <col min="3" max="3" width="9.21875" style="26"/>
    <col min="4" max="4" width="10.6640625" style="26" customWidth="1"/>
    <col min="5" max="5" width="11.21875" style="26" customWidth="1"/>
    <col min="6" max="6" width="12.77734375" style="26" customWidth="1"/>
    <col min="7" max="7" width="12" style="26" bestFit="1" customWidth="1"/>
    <col min="8" max="8" width="12.33203125" style="26" bestFit="1" customWidth="1"/>
    <col min="9" max="10" width="12.33203125" style="26" customWidth="1"/>
    <col min="11" max="12" width="9.21875" style="26"/>
    <col min="13" max="13" width="8.21875" style="26" customWidth="1"/>
    <col min="14" max="14" width="10.33203125" style="26" customWidth="1"/>
    <col min="15" max="15" width="10.5546875" style="26" customWidth="1"/>
    <col min="16" max="16" width="11.88671875" style="26" customWidth="1"/>
    <col min="17" max="17" width="13.44140625" style="26" customWidth="1"/>
    <col min="18" max="18" width="9.21875" style="26"/>
    <col min="19" max="19" width="12" style="26" bestFit="1" customWidth="1"/>
    <col min="20" max="16384" width="9.21875" style="26"/>
  </cols>
  <sheetData>
    <row r="1" spans="1:21" ht="31.2" x14ac:dyDescent="0.3">
      <c r="H1" s="91" t="s">
        <v>35</v>
      </c>
      <c r="I1" s="92"/>
      <c r="J1" s="93"/>
    </row>
    <row r="3" spans="1:21" x14ac:dyDescent="0.3">
      <c r="E3" s="88" t="s">
        <v>19</v>
      </c>
      <c r="F3" s="89"/>
      <c r="O3" s="88" t="s">
        <v>20</v>
      </c>
      <c r="P3" s="89"/>
    </row>
    <row r="4" spans="1:21" x14ac:dyDescent="0.3">
      <c r="A4" s="26" t="s">
        <v>38</v>
      </c>
      <c r="B4" s="51">
        <v>2.3221099999999999E-4</v>
      </c>
      <c r="D4" s="88" t="s">
        <v>31</v>
      </c>
      <c r="E4" s="90"/>
      <c r="F4" s="90"/>
      <c r="G4" s="89"/>
      <c r="N4" s="88" t="s">
        <v>32</v>
      </c>
      <c r="O4" s="90"/>
      <c r="P4" s="90"/>
      <c r="Q4" s="89"/>
      <c r="U4" s="26" t="s">
        <v>41</v>
      </c>
    </row>
    <row r="5" spans="1:21" x14ac:dyDescent="0.3">
      <c r="A5" s="27" t="s">
        <v>21</v>
      </c>
      <c r="B5" s="28">
        <v>18</v>
      </c>
    </row>
    <row r="6" spans="1:21" x14ac:dyDescent="0.3">
      <c r="A6" s="29" t="s">
        <v>27</v>
      </c>
      <c r="B6" s="30">
        <f>2*PI()*B5</f>
        <v>113.09733552923255</v>
      </c>
      <c r="D6" s="31" t="s">
        <v>22</v>
      </c>
      <c r="E6" s="32" t="s">
        <v>18</v>
      </c>
      <c r="F6" s="32" t="s">
        <v>23</v>
      </c>
      <c r="G6" s="33" t="s">
        <v>24</v>
      </c>
      <c r="H6" s="34" t="s">
        <v>36</v>
      </c>
      <c r="I6" s="34" t="s">
        <v>37</v>
      </c>
      <c r="J6" s="34"/>
      <c r="N6" s="31" t="s">
        <v>22</v>
      </c>
      <c r="O6" s="32" t="s">
        <v>18</v>
      </c>
      <c r="P6" s="32" t="s">
        <v>23</v>
      </c>
      <c r="Q6" s="33" t="s">
        <v>24</v>
      </c>
      <c r="R6" s="26" t="s">
        <v>36</v>
      </c>
      <c r="S6" s="26" t="s">
        <v>37</v>
      </c>
      <c r="U6" s="34" t="s">
        <v>42</v>
      </c>
    </row>
    <row r="7" spans="1:21" x14ac:dyDescent="0.3">
      <c r="A7" s="26" t="s">
        <v>14</v>
      </c>
      <c r="B7" s="51">
        <v>8.4141999999999995E-5</v>
      </c>
      <c r="D7" s="36">
        <v>5</v>
      </c>
      <c r="E7" s="37">
        <f>1/SQRT(H7+I7)</f>
        <v>5.1269951715645556E-3</v>
      </c>
      <c r="F7" s="38">
        <v>0.19989999999999999</v>
      </c>
      <c r="G7" s="50">
        <f>ABS((E7-F7)*100/F7)</f>
        <v>97.435220024229835</v>
      </c>
      <c r="H7" s="75">
        <f>(1+$B$9*(1-($B$5/D7)^2))^2</f>
        <v>11.113713877327607</v>
      </c>
      <c r="I7" s="26">
        <f>($B$13^2)*(D7/$B$5-$B$5/D7)^2</f>
        <v>38031.835992985725</v>
      </c>
      <c r="N7" s="39">
        <v>5</v>
      </c>
      <c r="O7" s="40">
        <f>1/SQRT(R7+S7)</f>
        <v>0.19489642101146001</v>
      </c>
      <c r="P7" s="41">
        <v>0.31209999999999999</v>
      </c>
      <c r="Q7" s="72">
        <f>ABS((O7-P7)*100/P7)</f>
        <v>37.553213389471317</v>
      </c>
      <c r="R7" s="75">
        <f>(1+$B$9*(1-($B$5/N7)^2))^2</f>
        <v>11.113713877327607</v>
      </c>
      <c r="S7" s="26">
        <f>($L$13^2)*(N7/$B$5-$B$5/D7)^2</f>
        <v>15.212734397194287</v>
      </c>
    </row>
    <row r="8" spans="1:21" x14ac:dyDescent="0.3">
      <c r="A8" s="26" t="s">
        <v>15</v>
      </c>
      <c r="B8" s="51">
        <v>4.8167E-7</v>
      </c>
      <c r="D8" s="43">
        <v>10</v>
      </c>
      <c r="E8" s="37">
        <f t="shared" ref="E8:E29" si="0">1/SQRT(H8+I8)</f>
        <v>1.3689200250565636E-2</v>
      </c>
      <c r="F8" s="26">
        <v>1.2500000000000001E-2</v>
      </c>
      <c r="G8" s="50">
        <f>ABS((E8-F8)*100/F8)</f>
        <v>9.5136020045250849</v>
      </c>
      <c r="H8" s="75">
        <f t="shared" ref="H8:H29" si="1">(1+$B$9*(1-($B$5/D8)^2))^2</f>
        <v>3.5469198428197478E-2</v>
      </c>
      <c r="I8" s="26">
        <f t="shared" ref="I8:I29" si="2">($B$13^2)*(D8/$B$5-$B$5/D8)^2</f>
        <v>5336.3088857620478</v>
      </c>
      <c r="N8" s="43">
        <v>10</v>
      </c>
      <c r="O8" s="40">
        <f t="shared" ref="O8:O29" si="3">1/SQRT(R8+S8)</f>
        <v>0.67884536689146757</v>
      </c>
      <c r="P8" s="26">
        <v>0.37490000000000001</v>
      </c>
      <c r="Q8" s="72">
        <f t="shared" ref="Q8:Q29" si="4">ABS((O8-P8)*100/P8)</f>
        <v>81.073717495723542</v>
      </c>
      <c r="R8" s="75">
        <f t="shared" ref="R8:R29" si="5">(1+$B$9*(1-($B$5/N8)^2))^2</f>
        <v>3.5469198428197478E-2</v>
      </c>
      <c r="S8" s="26">
        <f t="shared" ref="S8:S29" si="6">($L$13^2)*(N8/$B$5-$B$5/D8)^2</f>
        <v>2.1345235543048187</v>
      </c>
    </row>
    <row r="9" spans="1:21" x14ac:dyDescent="0.3">
      <c r="A9" s="26" t="s">
        <v>39</v>
      </c>
      <c r="B9" s="26">
        <f>$B$7/$B$4</f>
        <v>0.36235148205726686</v>
      </c>
      <c r="D9" s="36">
        <v>15</v>
      </c>
      <c r="E9" s="37">
        <f t="shared" si="0"/>
        <v>4.6425081483470007E-2</v>
      </c>
      <c r="F9" s="44">
        <v>1.2500000000000001E-2</v>
      </c>
      <c r="G9" s="50">
        <f t="shared" ref="G9:G29" si="7">ABS((E9-F9)*100/F9)</f>
        <v>271.40065186776002</v>
      </c>
      <c r="H9" s="75">
        <f t="shared" si="1"/>
        <v>0.70655010408151064</v>
      </c>
      <c r="I9" s="26">
        <f t="shared" si="2"/>
        <v>463.26852491987148</v>
      </c>
      <c r="N9" s="39">
        <v>15</v>
      </c>
      <c r="O9" s="40">
        <f t="shared" si="3"/>
        <v>1.0588934506526539</v>
      </c>
      <c r="P9" s="41">
        <v>0.62250000000000005</v>
      </c>
      <c r="Q9" s="72">
        <f t="shared" si="4"/>
        <v>70.10336556669138</v>
      </c>
      <c r="R9" s="75">
        <f t="shared" si="5"/>
        <v>0.70655010408151064</v>
      </c>
      <c r="S9" s="26">
        <f t="shared" si="6"/>
        <v>0.18530740996794856</v>
      </c>
    </row>
    <row r="10" spans="1:21" x14ac:dyDescent="0.3">
      <c r="A10" s="27" t="s">
        <v>5</v>
      </c>
      <c r="B10" s="28">
        <v>0.2</v>
      </c>
      <c r="D10" s="43">
        <v>20</v>
      </c>
      <c r="E10" s="37">
        <f t="shared" si="0"/>
        <v>8.039601940354163E-2</v>
      </c>
      <c r="F10" s="26">
        <v>2.7799999999999998E-2</v>
      </c>
      <c r="G10" s="50">
        <f t="shared" si="7"/>
        <v>189.19431440122892</v>
      </c>
      <c r="H10" s="75">
        <f t="shared" si="1"/>
        <v>1.1424334425171838</v>
      </c>
      <c r="I10" s="26">
        <f t="shared" si="2"/>
        <v>153.57202708546714</v>
      </c>
      <c r="K10" s="27" t="s">
        <v>5</v>
      </c>
      <c r="L10" s="28">
        <v>10</v>
      </c>
      <c r="N10" s="43">
        <v>20</v>
      </c>
      <c r="O10" s="40">
        <f t="shared" si="3"/>
        <v>0.91140540802603931</v>
      </c>
      <c r="P10" s="26">
        <v>1.0118</v>
      </c>
      <c r="Q10" s="72">
        <f t="shared" si="4"/>
        <v>9.9223751703855232</v>
      </c>
      <c r="R10" s="75">
        <f t="shared" si="5"/>
        <v>1.1424334425171838</v>
      </c>
      <c r="S10" s="26">
        <f t="shared" si="6"/>
        <v>6.1428810834186845E-2</v>
      </c>
    </row>
    <row r="11" spans="1:21" x14ac:dyDescent="0.3">
      <c r="A11" s="43" t="s">
        <v>6</v>
      </c>
      <c r="B11" s="45">
        <f>(8*B10)/PI()^2</f>
        <v>0.16211389382774044</v>
      </c>
      <c r="D11" s="56">
        <v>25</v>
      </c>
      <c r="E11" s="57">
        <f t="shared" si="0"/>
        <v>2.5456977574688924E-2</v>
      </c>
      <c r="F11" s="58">
        <v>0.99970000000000003</v>
      </c>
      <c r="G11" s="68">
        <f>ABS((E11-F11)*100/F11)</f>
        <v>97.453538304022317</v>
      </c>
      <c r="H11" s="75">
        <f t="shared" si="1"/>
        <v>1.3794701549311781</v>
      </c>
      <c r="I11" s="26">
        <f t="shared" si="2"/>
        <v>1541.6929890271917</v>
      </c>
      <c r="K11" s="43" t="s">
        <v>6</v>
      </c>
      <c r="L11" s="45">
        <f>(8*L10)/PI()^2</f>
        <v>8.105694691387022</v>
      </c>
      <c r="N11" s="59">
        <v>25</v>
      </c>
      <c r="O11" s="40">
        <f t="shared" si="3"/>
        <v>0.70778882536311472</v>
      </c>
      <c r="P11" s="61">
        <v>1</v>
      </c>
      <c r="Q11" s="73">
        <f t="shared" si="4"/>
        <v>29.221117463688529</v>
      </c>
      <c r="R11" s="75">
        <f t="shared" si="5"/>
        <v>1.3794701549311781</v>
      </c>
      <c r="S11" s="26">
        <f t="shared" si="6"/>
        <v>0.61667719561087653</v>
      </c>
    </row>
    <row r="12" spans="1:21" x14ac:dyDescent="0.3">
      <c r="A12" s="43"/>
      <c r="B12" s="45"/>
      <c r="D12" s="43">
        <v>30</v>
      </c>
      <c r="E12" s="37">
        <f t="shared" si="0"/>
        <v>1.5967696568720966E-2</v>
      </c>
      <c r="F12" s="26">
        <v>3.3099999999999997E-2</v>
      </c>
      <c r="G12" s="50">
        <f t="shared" si="7"/>
        <v>51.759224867912486</v>
      </c>
      <c r="H12" s="75">
        <f t="shared" si="1"/>
        <v>1.5175898021798122</v>
      </c>
      <c r="I12" s="26">
        <f t="shared" si="2"/>
        <v>3920.5534670904858</v>
      </c>
      <c r="K12" s="43"/>
      <c r="L12" s="45"/>
      <c r="N12" s="43">
        <v>30</v>
      </c>
      <c r="O12" s="40">
        <f t="shared" si="3"/>
        <v>0.56926610405044742</v>
      </c>
      <c r="P12" s="26">
        <v>0.77110000000000001</v>
      </c>
      <c r="Q12" s="72">
        <f t="shared" si="4"/>
        <v>26.174801705297963</v>
      </c>
      <c r="R12" s="75">
        <f t="shared" si="5"/>
        <v>1.5175898021798122</v>
      </c>
      <c r="S12" s="26">
        <f t="shared" si="6"/>
        <v>1.5682213868361941</v>
      </c>
    </row>
    <row r="13" spans="1:21" x14ac:dyDescent="0.3">
      <c r="A13" s="29" t="s">
        <v>7</v>
      </c>
      <c r="B13" s="55">
        <f>(2*PI()*B5*1000*B7)/B11</f>
        <v>58.700927979760216</v>
      </c>
      <c r="D13" s="36">
        <v>35</v>
      </c>
      <c r="E13" s="37">
        <f t="shared" si="0"/>
        <v>1.191026366313566E-2</v>
      </c>
      <c r="F13" s="38">
        <v>1.7600000000000001E-2</v>
      </c>
      <c r="G13" s="50">
        <f t="shared" si="7"/>
        <v>32.328047368547388</v>
      </c>
      <c r="H13" s="75">
        <f t="shared" si="1"/>
        <v>1.6040557174806951</v>
      </c>
      <c r="I13" s="26">
        <f t="shared" si="2"/>
        <v>7047.8786341799587</v>
      </c>
      <c r="K13" s="29" t="s">
        <v>7</v>
      </c>
      <c r="L13" s="55">
        <f>(2*PI()*B5*1000*B7)/L11</f>
        <v>1.1740185595952042</v>
      </c>
      <c r="N13" s="39">
        <v>35</v>
      </c>
      <c r="O13" s="40">
        <f t="shared" si="3"/>
        <v>0.47547902061685815</v>
      </c>
      <c r="P13" s="41">
        <v>0.58609999999999995</v>
      </c>
      <c r="Q13" s="72">
        <f t="shared" si="4"/>
        <v>18.874079403368334</v>
      </c>
      <c r="R13" s="75">
        <f t="shared" si="5"/>
        <v>1.6040557174806951</v>
      </c>
      <c r="S13" s="26">
        <f t="shared" si="6"/>
        <v>2.8191514536719828</v>
      </c>
    </row>
    <row r="14" spans="1:21" x14ac:dyDescent="0.3">
      <c r="D14" s="43">
        <v>40</v>
      </c>
      <c r="E14" s="37">
        <f t="shared" si="0"/>
        <v>9.6117733507946283E-3</v>
      </c>
      <c r="F14" s="26">
        <v>1.23E-2</v>
      </c>
      <c r="G14" s="50">
        <f t="shared" si="7"/>
        <v>21.855501213051802</v>
      </c>
      <c r="H14" s="75">
        <f t="shared" si="1"/>
        <v>1.6614573419027956</v>
      </c>
      <c r="I14" s="26">
        <f t="shared" si="2"/>
        <v>10822.46748493367</v>
      </c>
      <c r="N14" s="43">
        <v>40</v>
      </c>
      <c r="O14" s="40">
        <f t="shared" si="3"/>
        <v>0.40857376958187253</v>
      </c>
      <c r="P14" s="26">
        <v>0.47220000000000001</v>
      </c>
      <c r="Q14" s="72">
        <f t="shared" si="4"/>
        <v>13.474424061441653</v>
      </c>
      <c r="R14" s="75">
        <f t="shared" si="5"/>
        <v>1.6614573419027956</v>
      </c>
      <c r="S14" s="26">
        <f t="shared" si="6"/>
        <v>4.3289869939734666</v>
      </c>
    </row>
    <row r="15" spans="1:21" x14ac:dyDescent="0.3">
      <c r="A15" s="26" t="s">
        <v>40</v>
      </c>
      <c r="B15" s="75">
        <f>1/(2*PI()*SQRT((B7+B4)*B8)*1000)</f>
        <v>12.89315946344939</v>
      </c>
      <c r="D15" s="36">
        <v>50</v>
      </c>
      <c r="E15" s="37">
        <f t="shared" si="0"/>
        <v>7.0456327108673984E-3</v>
      </c>
      <c r="F15" s="38">
        <v>8.0000000000000002E-3</v>
      </c>
      <c r="G15" s="50">
        <f t="shared" si="7"/>
        <v>11.929591114157521</v>
      </c>
      <c r="H15" s="75">
        <f t="shared" si="1"/>
        <v>1.7302527725242758</v>
      </c>
      <c r="I15" s="26">
        <f t="shared" si="2"/>
        <v>20142.93247980711</v>
      </c>
      <c r="N15" s="39">
        <v>50</v>
      </c>
      <c r="O15" s="40">
        <f t="shared" si="3"/>
        <v>0.31964341319717804</v>
      </c>
      <c r="P15" s="41">
        <v>0.34399999999999997</v>
      </c>
      <c r="Q15" s="72">
        <f t="shared" si="4"/>
        <v>7.0804031403552141</v>
      </c>
      <c r="R15" s="75">
        <f t="shared" si="5"/>
        <v>1.7302527725242758</v>
      </c>
      <c r="S15" s="26">
        <f t="shared" si="6"/>
        <v>8.0571729919228439</v>
      </c>
    </row>
    <row r="16" spans="1:21" x14ac:dyDescent="0.3">
      <c r="D16" s="43">
        <v>60</v>
      </c>
      <c r="E16" s="37">
        <f t="shared" si="0"/>
        <v>5.6159442191126077E-3</v>
      </c>
      <c r="F16" s="26">
        <v>6.0000000000000001E-3</v>
      </c>
      <c r="G16" s="50">
        <f t="shared" si="7"/>
        <v>6.4009296814565397</v>
      </c>
      <c r="H16" s="75">
        <f t="shared" si="1"/>
        <v>1.7682080651465335</v>
      </c>
      <c r="I16" s="26">
        <f t="shared" si="2"/>
        <v>31705.178965797171</v>
      </c>
      <c r="N16" s="43">
        <v>60</v>
      </c>
      <c r="O16" s="40">
        <f t="shared" si="3"/>
        <v>0.26306427534758198</v>
      </c>
      <c r="P16" s="26">
        <v>0.2732</v>
      </c>
      <c r="Q16" s="72">
        <f t="shared" si="4"/>
        <v>3.710001702934854</v>
      </c>
      <c r="R16" s="75">
        <f t="shared" si="5"/>
        <v>1.7682080651465335</v>
      </c>
      <c r="S16" s="26">
        <f t="shared" si="6"/>
        <v>12.682071586318866</v>
      </c>
    </row>
    <row r="17" spans="4:19" x14ac:dyDescent="0.3">
      <c r="D17" s="36">
        <v>80</v>
      </c>
      <c r="E17" s="37">
        <f t="shared" si="0"/>
        <v>4.0373217956903183E-3</v>
      </c>
      <c r="F17" s="38">
        <v>4.1000000000000003E-3</v>
      </c>
      <c r="G17" s="50">
        <f t="shared" si="7"/>
        <v>1.5287366904800501</v>
      </c>
      <c r="H17" s="75">
        <f t="shared" si="1"/>
        <v>1.8063559941469085</v>
      </c>
      <c r="I17" s="26">
        <f t="shared" si="2"/>
        <v>61348.010039465131</v>
      </c>
      <c r="N17" s="39">
        <v>80</v>
      </c>
      <c r="O17" s="40">
        <f t="shared" si="3"/>
        <v>0.19482571679047767</v>
      </c>
      <c r="P17" s="41">
        <v>0.19589999999999999</v>
      </c>
      <c r="Q17" s="72">
        <f t="shared" si="4"/>
        <v>0.54838346581027331</v>
      </c>
      <c r="R17" s="75">
        <f t="shared" si="5"/>
        <v>1.8063559941469085</v>
      </c>
      <c r="S17" s="26">
        <f t="shared" si="6"/>
        <v>24.539204015786048</v>
      </c>
    </row>
    <row r="18" spans="4:19" x14ac:dyDescent="0.3">
      <c r="D18" s="43">
        <v>100</v>
      </c>
      <c r="E18" s="37">
        <f t="shared" si="0"/>
        <v>3.1690398503515047E-3</v>
      </c>
      <c r="F18" s="26">
        <v>3.2000000000000002E-3</v>
      </c>
      <c r="G18" s="50">
        <f t="shared" si="7"/>
        <v>0.96750467651548222</v>
      </c>
      <c r="H18" s="75">
        <f t="shared" si="1"/>
        <v>1.8241508675846525</v>
      </c>
      <c r="I18" s="26">
        <f t="shared" si="2"/>
        <v>99571.865305735511</v>
      </c>
      <c r="N18" s="43">
        <v>100</v>
      </c>
      <c r="O18" s="40">
        <f t="shared" si="3"/>
        <v>0.15494493846454599</v>
      </c>
      <c r="P18" s="26">
        <v>0.15359999999999999</v>
      </c>
      <c r="Q18" s="72">
        <f t="shared" si="4"/>
        <v>0.87561097952213729</v>
      </c>
      <c r="R18" s="75">
        <f t="shared" si="5"/>
        <v>1.8241508675846525</v>
      </c>
      <c r="S18" s="26">
        <f t="shared" si="6"/>
        <v>39.828746122294199</v>
      </c>
    </row>
    <row r="19" spans="4:19" x14ac:dyDescent="0.3">
      <c r="D19" s="36">
        <v>120</v>
      </c>
      <c r="E19" s="37">
        <f t="shared" si="0"/>
        <v>2.6141277347770972E-3</v>
      </c>
      <c r="F19" s="38">
        <v>2.5999999999999999E-3</v>
      </c>
      <c r="G19" s="50">
        <f t="shared" si="7"/>
        <v>0.54337441450374246</v>
      </c>
      <c r="H19" s="75">
        <f t="shared" si="1"/>
        <v>1.8338537770408478</v>
      </c>
      <c r="I19" s="26">
        <f t="shared" si="2"/>
        <v>146332.55239312997</v>
      </c>
      <c r="N19" s="39">
        <v>120</v>
      </c>
      <c r="O19" s="40">
        <f t="shared" si="3"/>
        <v>0.12870655137089568</v>
      </c>
      <c r="P19" s="41">
        <v>0.12670000000000001</v>
      </c>
      <c r="Q19" s="72">
        <f t="shared" si="4"/>
        <v>1.5837027394598819</v>
      </c>
      <c r="R19" s="75">
        <f t="shared" si="5"/>
        <v>1.8338537770408478</v>
      </c>
      <c r="S19" s="26">
        <f t="shared" si="6"/>
        <v>58.533020957251971</v>
      </c>
    </row>
    <row r="20" spans="4:19" x14ac:dyDescent="0.3">
      <c r="D20" s="43">
        <v>140</v>
      </c>
      <c r="E20" s="37">
        <f t="shared" si="0"/>
        <v>2.2270843947832216E-3</v>
      </c>
      <c r="F20" s="26">
        <v>2.2000000000000001E-3</v>
      </c>
      <c r="G20" s="50">
        <f t="shared" si="7"/>
        <v>1.2311088537827928</v>
      </c>
      <c r="H20" s="75">
        <f t="shared" si="1"/>
        <v>1.8397167633997507</v>
      </c>
      <c r="I20" s="26">
        <f t="shared" si="2"/>
        <v>201614.92912495497</v>
      </c>
      <c r="N20" s="43">
        <v>140</v>
      </c>
      <c r="O20" s="40">
        <f t="shared" si="3"/>
        <v>0.11010592717239015</v>
      </c>
      <c r="P20" s="26">
        <v>0.1079</v>
      </c>
      <c r="Q20" s="72">
        <f t="shared" si="4"/>
        <v>2.0444181393791978</v>
      </c>
      <c r="R20" s="75">
        <f t="shared" si="5"/>
        <v>1.8397167633997507</v>
      </c>
      <c r="S20" s="26">
        <f t="shared" si="6"/>
        <v>80.645971649981973</v>
      </c>
    </row>
    <row r="21" spans="4:19" x14ac:dyDescent="0.3">
      <c r="D21" s="36">
        <v>160</v>
      </c>
      <c r="E21" s="37">
        <f t="shared" si="0"/>
        <v>1.9410542158678054E-3</v>
      </c>
      <c r="F21" s="38">
        <v>1.9E-3</v>
      </c>
      <c r="G21" s="50">
        <f t="shared" si="7"/>
        <v>2.1607482035687053</v>
      </c>
      <c r="H21" s="75">
        <f t="shared" si="1"/>
        <v>1.8435270745452936</v>
      </c>
      <c r="I21" s="26">
        <f t="shared" si="2"/>
        <v>265412.6704383755</v>
      </c>
      <c r="N21" s="39">
        <v>160</v>
      </c>
      <c r="O21" s="40">
        <f t="shared" si="3"/>
        <v>9.6221216027241235E-2</v>
      </c>
      <c r="P21" s="41">
        <v>9.4100000000000003E-2</v>
      </c>
      <c r="Q21" s="72">
        <f t="shared" si="4"/>
        <v>2.2542146941989714</v>
      </c>
      <c r="R21" s="75">
        <f t="shared" si="5"/>
        <v>1.8435270745452936</v>
      </c>
      <c r="S21" s="26">
        <f t="shared" si="6"/>
        <v>106.16506817535017</v>
      </c>
    </row>
    <row r="22" spans="4:19" x14ac:dyDescent="0.3">
      <c r="D22" s="43">
        <v>180</v>
      </c>
      <c r="E22" s="37">
        <f t="shared" si="0"/>
        <v>1.7207534600331264E-3</v>
      </c>
      <c r="F22" s="26">
        <v>1.6999999999999999E-3</v>
      </c>
      <c r="G22" s="50">
        <f t="shared" si="7"/>
        <v>1.2207917666544992</v>
      </c>
      <c r="H22" s="75">
        <f t="shared" si="1"/>
        <v>1.8461416889511595</v>
      </c>
      <c r="I22" s="26">
        <f t="shared" si="2"/>
        <v>337722.75466658646</v>
      </c>
      <c r="N22" s="43">
        <v>180</v>
      </c>
      <c r="O22" s="40">
        <f t="shared" si="3"/>
        <v>8.5455964598321277E-2</v>
      </c>
      <c r="P22" s="26">
        <v>8.3400000000000002E-2</v>
      </c>
      <c r="Q22" s="72">
        <f t="shared" si="4"/>
        <v>2.4651853696897779</v>
      </c>
      <c r="R22" s="75">
        <f t="shared" si="5"/>
        <v>1.8461416889511595</v>
      </c>
      <c r="S22" s="26">
        <f t="shared" si="6"/>
        <v>135.08910186663456</v>
      </c>
    </row>
    <row r="23" spans="4:19" x14ac:dyDescent="0.3">
      <c r="D23" s="36">
        <v>200</v>
      </c>
      <c r="E23" s="37">
        <f t="shared" si="0"/>
        <v>1.5457124091684392E-3</v>
      </c>
      <c r="F23" s="38">
        <v>1.5E-3</v>
      </c>
      <c r="G23" s="50">
        <f t="shared" si="7"/>
        <v>3.0474939445626132</v>
      </c>
      <c r="H23" s="75">
        <f t="shared" si="1"/>
        <v>1.848013043891128</v>
      </c>
      <c r="I23" s="26">
        <f t="shared" si="2"/>
        <v>418543.59032515128</v>
      </c>
      <c r="N23" s="39">
        <v>200</v>
      </c>
      <c r="O23" s="40">
        <f t="shared" si="3"/>
        <v>7.6862736259466172E-2</v>
      </c>
      <c r="P23" s="41">
        <v>7.4899999999999994E-2</v>
      </c>
      <c r="Q23" s="72">
        <f t="shared" si="4"/>
        <v>2.6204756468173263</v>
      </c>
      <c r="R23" s="75">
        <f t="shared" si="5"/>
        <v>1.848013043891128</v>
      </c>
      <c r="S23" s="26">
        <f t="shared" si="6"/>
        <v>167.41743613006048</v>
      </c>
    </row>
    <row r="24" spans="4:19" x14ac:dyDescent="0.3">
      <c r="D24" s="43">
        <v>220</v>
      </c>
      <c r="E24" s="37">
        <f t="shared" si="0"/>
        <v>1.4032049297834225E-3</v>
      </c>
      <c r="F24" s="26">
        <v>1.4E-3</v>
      </c>
      <c r="G24" s="50">
        <f t="shared" si="7"/>
        <v>0.22892355595874908</v>
      </c>
      <c r="H24" s="75">
        <f t="shared" si="1"/>
        <v>1.8493982450841477</v>
      </c>
      <c r="I24" s="26">
        <f t="shared" si="2"/>
        <v>507874.27449371602</v>
      </c>
      <c r="N24" s="43">
        <v>220</v>
      </c>
      <c r="O24" s="40">
        <f t="shared" si="3"/>
        <v>6.9843181521378347E-2</v>
      </c>
      <c r="P24" s="26">
        <v>6.8000000000000005E-2</v>
      </c>
      <c r="Q24" s="72">
        <f t="shared" si="4"/>
        <v>2.7105610608505035</v>
      </c>
      <c r="R24" s="75">
        <f t="shared" si="5"/>
        <v>1.8493982450841477</v>
      </c>
      <c r="S24" s="26">
        <f t="shared" si="6"/>
        <v>203.14970979748637</v>
      </c>
    </row>
    <row r="25" spans="4:19" x14ac:dyDescent="0.3">
      <c r="D25" s="36">
        <v>240</v>
      </c>
      <c r="E25" s="37">
        <f t="shared" si="0"/>
        <v>1.2848884822875399E-3</v>
      </c>
      <c r="F25" s="38">
        <v>1.2999999999999999E-3</v>
      </c>
      <c r="G25" s="50">
        <f t="shared" si="7"/>
        <v>1.1624244394200067</v>
      </c>
      <c r="H25" s="75">
        <f t="shared" si="1"/>
        <v>1.8504521516489663</v>
      </c>
      <c r="I25" s="26">
        <f t="shared" si="2"/>
        <v>605714.26396058779</v>
      </c>
      <c r="N25" s="39">
        <v>240</v>
      </c>
      <c r="O25" s="40">
        <f t="shared" si="3"/>
        <v>6.4000585541277855E-2</v>
      </c>
      <c r="P25" s="41">
        <v>6.2300000000000001E-2</v>
      </c>
      <c r="Q25" s="72">
        <f t="shared" si="4"/>
        <v>2.7296718158553022</v>
      </c>
      <c r="R25" s="75">
        <f t="shared" si="5"/>
        <v>1.8504521516489663</v>
      </c>
      <c r="S25" s="26">
        <f t="shared" si="6"/>
        <v>242.28570558423505</v>
      </c>
    </row>
    <row r="26" spans="4:19" x14ac:dyDescent="0.3">
      <c r="D26" s="43">
        <v>260</v>
      </c>
      <c r="E26" s="37">
        <f t="shared" si="0"/>
        <v>1.1850595097791428E-3</v>
      </c>
      <c r="F26" s="26">
        <v>1.1999999999999999E-3</v>
      </c>
      <c r="G26" s="50">
        <f t="shared" si="7"/>
        <v>1.2450408517380953</v>
      </c>
      <c r="H26" s="75">
        <f t="shared" si="1"/>
        <v>1.8512725465005542</v>
      </c>
      <c r="I26" s="26">
        <f t="shared" si="2"/>
        <v>712063.21602051135</v>
      </c>
      <c r="N26" s="43">
        <v>260</v>
      </c>
      <c r="O26" s="40">
        <f t="shared" si="3"/>
        <v>5.9061423285401066E-2</v>
      </c>
      <c r="P26" s="26">
        <v>5.74E-2</v>
      </c>
      <c r="Q26" s="72">
        <f t="shared" si="4"/>
        <v>2.894465654008826</v>
      </c>
      <c r="R26" s="75">
        <f t="shared" si="5"/>
        <v>1.8512725465005542</v>
      </c>
      <c r="S26" s="26">
        <f t="shared" si="6"/>
        <v>284.82528640820448</v>
      </c>
    </row>
    <row r="27" spans="4:19" x14ac:dyDescent="0.3">
      <c r="D27" s="36">
        <v>280</v>
      </c>
      <c r="E27" s="37">
        <f t="shared" si="0"/>
        <v>1.0996830417815673E-3</v>
      </c>
      <c r="F27" s="38">
        <v>1.1000000000000001E-3</v>
      </c>
      <c r="G27" s="50">
        <f t="shared" si="7"/>
        <v>2.881438349388701E-2</v>
      </c>
      <c r="H27" s="75">
        <f t="shared" si="1"/>
        <v>1.8519236340718497</v>
      </c>
      <c r="I27" s="26">
        <f t="shared" si="2"/>
        <v>826920.90580051113</v>
      </c>
      <c r="N27" s="39">
        <v>280</v>
      </c>
      <c r="O27" s="40">
        <f t="shared" si="3"/>
        <v>5.4830932726221276E-2</v>
      </c>
      <c r="P27" s="41">
        <v>5.3199999999999997E-2</v>
      </c>
      <c r="Q27" s="72">
        <f t="shared" si="4"/>
        <v>3.0656630192129311</v>
      </c>
      <c r="R27" s="75">
        <f t="shared" si="5"/>
        <v>1.8519236340718497</v>
      </c>
      <c r="S27" s="26">
        <f t="shared" si="6"/>
        <v>330.7683623202044</v>
      </c>
    </row>
    <row r="28" spans="4:19" x14ac:dyDescent="0.3">
      <c r="D28" s="29">
        <v>300</v>
      </c>
      <c r="E28" s="37">
        <f t="shared" si="0"/>
        <v>1.0258223130360168E-3</v>
      </c>
      <c r="F28" s="47">
        <v>1E-3</v>
      </c>
      <c r="G28" s="52">
        <f t="shared" si="7"/>
        <v>2.5822313036016808</v>
      </c>
      <c r="H28" s="75">
        <f t="shared" si="1"/>
        <v>1.852448981727477</v>
      </c>
      <c r="I28" s="26">
        <f t="shared" si="2"/>
        <v>950287.18078622245</v>
      </c>
      <c r="N28" s="29">
        <v>300</v>
      </c>
      <c r="O28" s="40">
        <f t="shared" si="3"/>
        <v>5.1166639615975021E-2</v>
      </c>
      <c r="P28" s="47">
        <v>4.9700000000000001E-2</v>
      </c>
      <c r="Q28" s="74">
        <f t="shared" si="4"/>
        <v>2.9509851428068807</v>
      </c>
      <c r="R28" s="75">
        <f t="shared" si="5"/>
        <v>1.852448981727477</v>
      </c>
      <c r="S28" s="26">
        <f t="shared" si="6"/>
        <v>380.11487231448888</v>
      </c>
    </row>
    <row r="29" spans="4:19" x14ac:dyDescent="0.3">
      <c r="D29" s="26">
        <v>600</v>
      </c>
      <c r="E29" s="37">
        <f t="shared" si="0"/>
        <v>5.1152542332206672E-4</v>
      </c>
      <c r="F29" s="26">
        <v>5.0000000000000001E-4</v>
      </c>
      <c r="G29" s="35">
        <f t="shared" si="7"/>
        <v>2.3050846644133425</v>
      </c>
      <c r="H29" s="75">
        <f t="shared" si="1"/>
        <v>1.8551130968740035</v>
      </c>
      <c r="I29" s="26">
        <f t="shared" si="2"/>
        <v>3821776.9985332321</v>
      </c>
      <c r="N29" s="26">
        <v>600</v>
      </c>
      <c r="O29" s="40">
        <f t="shared" si="3"/>
        <v>2.5560772888438443E-2</v>
      </c>
      <c r="P29" s="26">
        <v>2.4799999999999999E-2</v>
      </c>
      <c r="Q29" s="35">
        <f t="shared" si="4"/>
        <v>3.0676326146711461</v>
      </c>
      <c r="R29" s="75">
        <f t="shared" si="5"/>
        <v>1.8551130968740035</v>
      </c>
      <c r="S29" s="26">
        <f t="shared" si="6"/>
        <v>1528.7107994132925</v>
      </c>
    </row>
  </sheetData>
  <mergeCells count="5">
    <mergeCell ref="H1:J1"/>
    <mergeCell ref="E3:F3"/>
    <mergeCell ref="O3:P3"/>
    <mergeCell ref="D4:G4"/>
    <mergeCell ref="N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GainAtDiff_R</vt:lpstr>
      <vt:lpstr>SRC_AnaVs.Sim</vt:lpstr>
      <vt:lpstr>PRC_AnaVs.Sim</vt:lpstr>
      <vt:lpstr>LLC_AnaVs.Sim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2025-10-27T18:36:52Z</dcterms:modified>
</cp:coreProperties>
</file>