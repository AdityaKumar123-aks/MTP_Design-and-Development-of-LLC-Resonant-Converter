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1.M.Tech 3rd Sem/MTP_Design and Development of LLC Resonant Converter for EV Charging/MTP_MyMaterial/"/>
    </mc:Choice>
  </mc:AlternateContent>
  <xr:revisionPtr revIDLastSave="0" documentId="13_ncr:1_{B9B48318-5926-46DF-9C26-F35EB4AE6C66}" xr6:coauthVersionLast="47" xr6:coauthVersionMax="47" xr10:uidLastSave="{00000000-0000-0000-0000-000000000000}"/>
  <bookViews>
    <workbookView xWindow="-103" yWindow="-103" windowWidth="24892" windowHeight="14914" xr2:uid="{5E4838CD-76FA-48BB-B302-DB5181210B6D}"/>
  </bookViews>
  <sheets>
    <sheet name="Different_Q_SRC" sheetId="1" r:id="rId1"/>
    <sheet name="Different_R_SRC,PRC" sheetId="2" r:id="rId2"/>
    <sheet name="SRC_AnaVs.Sim" sheetId="5" r:id="rId3"/>
    <sheet name="PRC_AnaVs.Sim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7" l="1"/>
  <c r="G7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7" i="7"/>
  <c r="H8" i="7"/>
  <c r="B11" i="7"/>
  <c r="B13" i="7" s="1"/>
  <c r="B6" i="7"/>
  <c r="L11" i="7"/>
  <c r="L13" i="7" s="1"/>
  <c r="N7" i="2"/>
  <c r="N8" i="2"/>
  <c r="N9" i="2"/>
  <c r="N10" i="2"/>
  <c r="N11" i="2"/>
  <c r="N12" i="2"/>
  <c r="N6" i="2"/>
  <c r="M7" i="2"/>
  <c r="M8" i="2"/>
  <c r="M9" i="2"/>
  <c r="M10" i="2"/>
  <c r="M11" i="2"/>
  <c r="M12" i="2"/>
  <c r="E7" i="5"/>
  <c r="M6" i="2"/>
  <c r="E29" i="5"/>
  <c r="G29" i="5" s="1"/>
  <c r="H29" i="5"/>
  <c r="O29" i="5"/>
  <c r="Q29" i="5" s="1"/>
  <c r="O8" i="7" l="1"/>
  <c r="O9" i="7"/>
  <c r="O10" i="7"/>
  <c r="O7" i="7"/>
  <c r="Q7" i="7" s="1"/>
  <c r="O11" i="7"/>
  <c r="O12" i="7"/>
  <c r="O13" i="7"/>
  <c r="Q13" i="7" s="1"/>
  <c r="O14" i="7"/>
  <c r="O23" i="7"/>
  <c r="O24" i="7"/>
  <c r="O25" i="7"/>
  <c r="O26" i="7"/>
  <c r="Q26" i="7" s="1"/>
  <c r="O27" i="7"/>
  <c r="Q27" i="7" s="1"/>
  <c r="O29" i="7"/>
  <c r="O15" i="7"/>
  <c r="Q15" i="7" s="1"/>
  <c r="O16" i="7"/>
  <c r="Q16" i="7" s="1"/>
  <c r="O17" i="7"/>
  <c r="Q17" i="7" s="1"/>
  <c r="O18" i="7"/>
  <c r="O19" i="7"/>
  <c r="Q19" i="7" s="1"/>
  <c r="O20" i="7"/>
  <c r="Q20" i="7" s="1"/>
  <c r="O21" i="7"/>
  <c r="O22" i="7"/>
  <c r="O28" i="7"/>
  <c r="E23" i="7"/>
  <c r="G23" i="7" s="1"/>
  <c r="E7" i="7"/>
  <c r="E24" i="7"/>
  <c r="G24" i="7" s="1"/>
  <c r="E25" i="7"/>
  <c r="E26" i="7"/>
  <c r="E27" i="7"/>
  <c r="E17" i="7"/>
  <c r="E20" i="7"/>
  <c r="G20" i="7" s="1"/>
  <c r="E22" i="7"/>
  <c r="E8" i="7"/>
  <c r="G8" i="7" s="1"/>
  <c r="E28" i="7"/>
  <c r="E29" i="7"/>
  <c r="E10" i="7"/>
  <c r="E11" i="7"/>
  <c r="G11" i="7" s="1"/>
  <c r="E12" i="7"/>
  <c r="G12" i="7" s="1"/>
  <c r="E13" i="7"/>
  <c r="G13" i="7" s="1"/>
  <c r="E14" i="7"/>
  <c r="E15" i="7"/>
  <c r="E16" i="7"/>
  <c r="E18" i="7"/>
  <c r="E19" i="7"/>
  <c r="E21" i="7"/>
  <c r="G21" i="7" s="1"/>
  <c r="Q29" i="7"/>
  <c r="Q9" i="7"/>
  <c r="Q25" i="7"/>
  <c r="Q14" i="7"/>
  <c r="Q22" i="7"/>
  <c r="Q11" i="7"/>
  <c r="Q10" i="7"/>
  <c r="Q28" i="7"/>
  <c r="Q18" i="7"/>
  <c r="Q8" i="7"/>
  <c r="Q24" i="7"/>
  <c r="Q23" i="7"/>
  <c r="Q12" i="7"/>
  <c r="Q21" i="7"/>
  <c r="G17" i="7"/>
  <c r="G18" i="7"/>
  <c r="G25" i="7"/>
  <c r="G19" i="7"/>
  <c r="G26" i="7"/>
  <c r="G27" i="7"/>
  <c r="G14" i="7"/>
  <c r="G28" i="7"/>
  <c r="G16" i="7"/>
  <c r="Q18" i="5"/>
  <c r="Q19" i="5"/>
  <c r="Q20" i="5"/>
  <c r="Q21" i="5"/>
  <c r="Q22" i="5"/>
  <c r="Q23" i="5"/>
  <c r="Q24" i="5"/>
  <c r="Q25" i="5"/>
  <c r="Q26" i="5"/>
  <c r="Q27" i="5"/>
  <c r="G18" i="5"/>
  <c r="G19" i="5"/>
  <c r="G20" i="5"/>
  <c r="G21" i="5"/>
  <c r="G22" i="5"/>
  <c r="G23" i="5"/>
  <c r="G24" i="5"/>
  <c r="G25" i="5"/>
  <c r="G26" i="5"/>
  <c r="O7" i="5"/>
  <c r="Q7" i="5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7" i="5"/>
  <c r="O8" i="5"/>
  <c r="Q8" i="5" s="1"/>
  <c r="G7" i="5"/>
  <c r="E8" i="5"/>
  <c r="G8" i="5" s="1"/>
  <c r="O28" i="5"/>
  <c r="Q28" i="5" s="1"/>
  <c r="O27" i="5"/>
  <c r="O10" i="5"/>
  <c r="Q10" i="5" s="1"/>
  <c r="O11" i="5"/>
  <c r="Q11" i="5" s="1"/>
  <c r="O12" i="5"/>
  <c r="Q12" i="5" s="1"/>
  <c r="O13" i="5"/>
  <c r="Q13" i="5" s="1"/>
  <c r="O14" i="5"/>
  <c r="Q14" i="5" s="1"/>
  <c r="O15" i="5"/>
  <c r="Q15" i="5" s="1"/>
  <c r="O16" i="5"/>
  <c r="Q16" i="5" s="1"/>
  <c r="O17" i="5"/>
  <c r="Q17" i="5" s="1"/>
  <c r="O18" i="5"/>
  <c r="O19" i="5"/>
  <c r="O20" i="5"/>
  <c r="O21" i="5"/>
  <c r="O22" i="5"/>
  <c r="O23" i="5"/>
  <c r="O24" i="5"/>
  <c r="O25" i="5"/>
  <c r="O26" i="5"/>
  <c r="O9" i="5"/>
  <c r="Q9" i="5" s="1"/>
  <c r="L11" i="5"/>
  <c r="E9" i="5"/>
  <c r="G9" i="5" s="1"/>
  <c r="E10" i="5"/>
  <c r="G10" i="5" s="1"/>
  <c r="E11" i="5"/>
  <c r="G11" i="5" s="1"/>
  <c r="E12" i="5"/>
  <c r="G12" i="5" s="1"/>
  <c r="E13" i="5"/>
  <c r="G13" i="5" s="1"/>
  <c r="E14" i="5"/>
  <c r="G14" i="5" s="1"/>
  <c r="E15" i="5"/>
  <c r="G15" i="5" s="1"/>
  <c r="E16" i="5"/>
  <c r="G16" i="5" s="1"/>
  <c r="E17" i="5"/>
  <c r="G17" i="5" s="1"/>
  <c r="E18" i="5"/>
  <c r="E19" i="5"/>
  <c r="E20" i="5"/>
  <c r="E21" i="5"/>
  <c r="E22" i="5"/>
  <c r="E23" i="5"/>
  <c r="E24" i="5"/>
  <c r="E25" i="5"/>
  <c r="E26" i="5"/>
  <c r="E27" i="5"/>
  <c r="G27" i="5" s="1"/>
  <c r="E28" i="5"/>
  <c r="G28" i="5" s="1"/>
  <c r="N26" i="2"/>
  <c r="N27" i="2"/>
  <c r="N28" i="2"/>
  <c r="N29" i="2"/>
  <c r="N30" i="2"/>
  <c r="N31" i="2"/>
  <c r="N32" i="2"/>
  <c r="N33" i="2"/>
  <c r="N34" i="2"/>
  <c r="H11" i="2"/>
  <c r="B11" i="5"/>
  <c r="B6" i="5"/>
  <c r="H6" i="2"/>
  <c r="G6" i="2"/>
  <c r="N17" i="2"/>
  <c r="N16" i="2"/>
  <c r="N18" i="2"/>
  <c r="N19" i="2"/>
  <c r="N20" i="2"/>
  <c r="N21" i="2"/>
  <c r="N22" i="2"/>
  <c r="N23" i="2"/>
  <c r="N24" i="2"/>
  <c r="N25" i="2"/>
  <c r="N15" i="2"/>
  <c r="H7" i="2"/>
  <c r="H8" i="2"/>
  <c r="H9" i="2"/>
  <c r="H10" i="2"/>
  <c r="H12" i="2"/>
  <c r="H13" i="2"/>
  <c r="G11" i="2"/>
  <c r="G7" i="2"/>
  <c r="E5" i="1"/>
  <c r="F13" i="2"/>
  <c r="G13" i="2" s="1"/>
  <c r="G5" i="1"/>
  <c r="E6" i="1"/>
  <c r="G6" i="1" s="1"/>
  <c r="E7" i="1"/>
  <c r="G7" i="1" s="1"/>
  <c r="E8" i="1"/>
  <c r="G8" i="1" s="1"/>
  <c r="E9" i="1"/>
  <c r="E10" i="1"/>
  <c r="G10" i="1" s="1"/>
  <c r="E11" i="1"/>
  <c r="G11" i="1" s="1"/>
  <c r="E12" i="1"/>
  <c r="E13" i="1"/>
  <c r="E14" i="1"/>
  <c r="E15" i="1"/>
  <c r="G9" i="1"/>
  <c r="G15" i="1"/>
  <c r="G12" i="1"/>
  <c r="G13" i="1"/>
  <c r="G14" i="1"/>
  <c r="F12" i="2"/>
  <c r="G12" i="2"/>
  <c r="F6" i="2"/>
  <c r="F7" i="2"/>
  <c r="F8" i="2"/>
  <c r="G8" i="2" s="1"/>
  <c r="F9" i="2"/>
  <c r="G9" i="2" s="1"/>
  <c r="F10" i="2"/>
  <c r="G10" i="2" s="1"/>
  <c r="F11" i="2"/>
  <c r="B7" i="2"/>
  <c r="B6" i="1"/>
  <c r="G10" i="7" l="1"/>
  <c r="G29" i="7"/>
  <c r="G22" i="7"/>
  <c r="G9" i="7"/>
  <c r="G15" i="7"/>
  <c r="J10" i="2"/>
  <c r="J9" i="2"/>
  <c r="J11" i="2"/>
  <c r="J13" i="2"/>
  <c r="J8" i="2"/>
  <c r="J12" i="2"/>
  <c r="J7" i="2"/>
  <c r="J6" i="2"/>
</calcChain>
</file>

<file path=xl/sharedStrings.xml><?xml version="1.0" encoding="utf-8"?>
<sst xmlns="http://schemas.openxmlformats.org/spreadsheetml/2006/main" count="88" uniqueCount="41">
  <si>
    <t>Q</t>
  </si>
  <si>
    <t xml:space="preserve">fo </t>
  </si>
  <si>
    <t>fs</t>
  </si>
  <si>
    <t>SRC</t>
  </si>
  <si>
    <t>PRC</t>
  </si>
  <si>
    <t>fx (fs/fo)</t>
  </si>
  <si>
    <t>Vo/Vin cal</t>
  </si>
  <si>
    <t>Vo/Vin sim</t>
  </si>
  <si>
    <t>Gain at different Q</t>
  </si>
  <si>
    <t>R</t>
  </si>
  <si>
    <t>Req</t>
  </si>
  <si>
    <t>fs/fr</t>
  </si>
  <si>
    <t>Lr</t>
  </si>
  <si>
    <t>Cr</t>
  </si>
  <si>
    <t>Gain (calculated)</t>
  </si>
  <si>
    <t>Gain (simulated)</t>
  </si>
  <si>
    <t>Gain(simulated)</t>
  </si>
  <si>
    <t>% Error</t>
  </si>
  <si>
    <t>f0</t>
  </si>
  <si>
    <t>High laod or High Q</t>
  </si>
  <si>
    <t>Light load or Low Q</t>
  </si>
  <si>
    <t>Gain at different R</t>
  </si>
  <si>
    <t>Fsw</t>
  </si>
  <si>
    <t>Gain (calc)</t>
  </si>
  <si>
    <t>Gain (simu)</t>
  </si>
  <si>
    <t>fs (kHz)</t>
  </si>
  <si>
    <t>fr (kHz)</t>
  </si>
  <si>
    <t>wr (kHz)</t>
  </si>
  <si>
    <t>Analytical vs. Simulated (R = 0.2 ohm Q = 13.21)</t>
  </si>
  <si>
    <t>Heavy Load</t>
  </si>
  <si>
    <t>Analytical vs. Simulated (R = 20 ohm Q = 0.1321)</t>
  </si>
  <si>
    <t>Light Load</t>
  </si>
  <si>
    <t>Error %</t>
  </si>
  <si>
    <t>(fs/fr-fr/fs)^2</t>
  </si>
  <si>
    <t>3rd Harm</t>
  </si>
  <si>
    <t>wr (krad/sec)</t>
  </si>
  <si>
    <t>(1-fs/fr)^2</t>
  </si>
  <si>
    <t>Analytical vs. Simulated (R = 0.2 ohm Q = 0.1152)</t>
  </si>
  <si>
    <t>Analytical vs. Simulated (R = 20 ohm Q = 11.518)</t>
  </si>
  <si>
    <t>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</si>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</sst>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11" fontId="1" fillId="0" borderId="3" xfId="0" applyNumberFormat="1" applyFont="1" applyBorder="1" applyAlignment="1">
      <alignment horizontal="center" vertical="center"/>
    </xf>
    <xf numFmtId="11" fontId="1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G_calculated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Different_Q_SRC!$D$6:$D$11</c:f>
              <c:numCache>
                <c:formatCode>General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numCache>
            </c:numRef>
          </c:xVal>
          <c:yVal>
            <c:numRef>
              <c:f>Different_Q_SRC!$E$6:$E$11</c:f>
              <c:numCache>
                <c:formatCode>0.0000</c:formatCode>
                <c:ptCount val="6"/>
                <c:pt idx="0">
                  <c:v>0.99898903514403781</c:v>
                </c:pt>
                <c:pt idx="1">
                  <c:v>0.97560975609756106</c:v>
                </c:pt>
                <c:pt idx="2">
                  <c:v>0.91192150517510651</c:v>
                </c:pt>
                <c:pt idx="3">
                  <c:v>0.40613846605344767</c:v>
                </c:pt>
                <c:pt idx="4">
                  <c:v>0.21693045781865616</c:v>
                </c:pt>
                <c:pt idx="5">
                  <c:v>0.11043152607484656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6-49B6-A0E2-F6AF90326250}"/>
            </c:ext>
          </c:extLst>
        </c:ser>
        <c:ser>
          <c:idx val="1"/>
          <c:order val="1"/>
          <c:tx>
            <c:v>G_simulated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Different_Q_SRC!$D$6:$D$11</c:f>
              <c:numCache>
                <c:formatCode>General</c:formatCode>
                <c:ptCount val="6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</c:numCache>
            </c:numRef>
          </c:xVal>
          <c:yVal>
            <c:numRef>
              <c:f>Different_Q_SRC!$F$6:$F$11</c:f>
              <c:numCache>
                <c:formatCode>General</c:formatCode>
                <c:ptCount val="6"/>
                <c:pt idx="0">
                  <c:v>0.98460000000000003</c:v>
                </c:pt>
                <c:pt idx="1">
                  <c:v>0.91190000000000004</c:v>
                </c:pt>
                <c:pt idx="2">
                  <c:v>0.8468</c:v>
                </c:pt>
                <c:pt idx="3">
                  <c:v>0.38869999999999999</c:v>
                </c:pt>
                <c:pt idx="4">
                  <c:v>0.20699999999999999</c:v>
                </c:pt>
                <c:pt idx="5">
                  <c:v>0.107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66-49B6-A0E2-F6AF90326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37311"/>
        <c:axId val="420729151"/>
      </c:scatterChart>
      <c:valAx>
        <c:axId val="420737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29151"/>
        <c:crosses val="autoZero"/>
        <c:crossBetween val="midCat"/>
      </c:valAx>
      <c:valAx>
        <c:axId val="42072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3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G_calculated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C-40C7-8FDA-80A12A08A1C1}"/>
            </c:ext>
          </c:extLst>
        </c:ser>
        <c:ser>
          <c:idx val="1"/>
          <c:order val="1"/>
          <c:tx>
            <c:v>G_simulated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7C-40C7-8FDA-80A12A08A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737311"/>
        <c:axId val="420729151"/>
      </c:scatterChart>
      <c:valAx>
        <c:axId val="42073731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29151"/>
        <c:crosses val="autoZero"/>
        <c:crossBetween val="midCat"/>
      </c:valAx>
      <c:valAx>
        <c:axId val="42072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37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Different_Q_SRC!$D$5:$D$15</c:f>
              <c:numCache>
                <c:formatCode>General</c:formatCode>
                <c:ptCount val="11"/>
                <c:pt idx="0">
                  <c:v>0.01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</c:numCache>
            </c:numRef>
          </c:xVal>
          <c:yVal>
            <c:numRef>
              <c:f>Different_Q_SRC!$K$5:$K$15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A4-4105-A2A6-1530F126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580464"/>
        <c:axId val="1051580944"/>
      </c:scatterChart>
      <c:valAx>
        <c:axId val="105158046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80944"/>
        <c:crosses val="autoZero"/>
        <c:crossBetween val="midCat"/>
        <c:majorUnit val="2"/>
      </c:valAx>
      <c:valAx>
        <c:axId val="10515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8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vs 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Error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'Different_R_SRC,PRC'!$G$6:$G$13</c:f>
              <c:numCache>
                <c:formatCode>0.0000</c:formatCode>
                <c:ptCount val="8"/>
                <c:pt idx="0" formatCode="General">
                  <c:v>13.214099964226772</c:v>
                </c:pt>
                <c:pt idx="1">
                  <c:v>2.6428199928453546</c:v>
                </c:pt>
                <c:pt idx="2">
                  <c:v>1.3214099964226773</c:v>
                </c:pt>
                <c:pt idx="3">
                  <c:v>0.52856399856907088</c:v>
                </c:pt>
                <c:pt idx="4">
                  <c:v>0.26428199928453544</c:v>
                </c:pt>
                <c:pt idx="5">
                  <c:v>0.13214099964226772</c:v>
                </c:pt>
                <c:pt idx="6">
                  <c:v>8.8093999761511818E-2</c:v>
                </c:pt>
                <c:pt idx="7" formatCode="General">
                  <c:v>5.2856399856907092E-2</c:v>
                </c:pt>
              </c:numCache>
            </c:numRef>
          </c:xVal>
          <c:yVal>
            <c:numRef>
              <c:f>'Different_R_SRC,PRC'!$J$6:$J$13</c:f>
              <c:numCache>
                <c:formatCode>General</c:formatCode>
                <c:ptCount val="8"/>
                <c:pt idx="0" formatCode="0.000">
                  <c:v>5.0387074781345405</c:v>
                </c:pt>
                <c:pt idx="1">
                  <c:v>24.459369525450281</c:v>
                </c:pt>
                <c:pt idx="2">
                  <c:v>45.043309242419667</c:v>
                </c:pt>
                <c:pt idx="3" formatCode="0.000">
                  <c:v>78.359588728811602</c:v>
                </c:pt>
                <c:pt idx="4">
                  <c:v>92.961890287054246</c:v>
                </c:pt>
                <c:pt idx="5" formatCode="0.000">
                  <c:v>98.091660352836684</c:v>
                </c:pt>
                <c:pt idx="6">
                  <c:v>99.138207506854243</c:v>
                </c:pt>
                <c:pt idx="7">
                  <c:v>99.687171681997569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46-4F60-913A-801AAE7A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515840"/>
        <c:axId val="1940511520"/>
      </c:scatterChart>
      <c:valAx>
        <c:axId val="194051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11520"/>
        <c:crosses val="autoZero"/>
        <c:crossBetween val="midCat"/>
        <c:majorUnit val="2"/>
      </c:valAx>
      <c:valAx>
        <c:axId val="19405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1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02536400"/>
        <c:axId val="702536880"/>
      </c:scatterChart>
      <c:valAx>
        <c:axId val="70253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36880"/>
        <c:crosses val="autoZero"/>
        <c:crossBetween val="midCat"/>
      </c:valAx>
      <c:valAx>
        <c:axId val="7025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3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Error b/w Analytical and simulated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cat>
          <c:val>
            <c:numRef>
              <c:f>SRC_AnaVs.Sim!$G$7:$G$28</c:f>
              <c:numCache>
                <c:formatCode>General</c:formatCode>
                <c:ptCount val="22"/>
                <c:pt idx="0">
                  <c:v>94.938239900299237</c:v>
                </c:pt>
                <c:pt idx="1">
                  <c:v>92.949269569864001</c:v>
                </c:pt>
                <c:pt idx="2">
                  <c:v>87.131495366595928</c:v>
                </c:pt>
                <c:pt idx="3">
                  <c:v>92.102190250501025</c:v>
                </c:pt>
                <c:pt idx="4">
                  <c:v>79.094203692835691</c:v>
                </c:pt>
                <c:pt idx="5">
                  <c:v>52.426464794842275</c:v>
                </c:pt>
                <c:pt idx="6">
                  <c:v>15.173275007939786</c:v>
                </c:pt>
                <c:pt idx="7">
                  <c:v>7.7326470985706122</c:v>
                </c:pt>
                <c:pt idx="8">
                  <c:v>4.3387020271538104</c:v>
                </c:pt>
                <c:pt idx="9">
                  <c:v>2.5606526086088448</c:v>
                </c:pt>
                <c:pt idx="10">
                  <c:v>1.6774153886676124</c:v>
                </c:pt>
                <c:pt idx="11">
                  <c:v>0.17028949213663577</c:v>
                </c:pt>
                <c:pt idx="12">
                  <c:v>1.6847177499303632</c:v>
                </c:pt>
                <c:pt idx="13">
                  <c:v>1.6243782814329195</c:v>
                </c:pt>
                <c:pt idx="14">
                  <c:v>1.7677382993655586</c:v>
                </c:pt>
                <c:pt idx="15">
                  <c:v>2.0426965845600145</c:v>
                </c:pt>
                <c:pt idx="16">
                  <c:v>2.1920126420461332</c:v>
                </c:pt>
                <c:pt idx="17">
                  <c:v>2.2251257038075938</c:v>
                </c:pt>
                <c:pt idx="18">
                  <c:v>2.4311845593125607</c:v>
                </c:pt>
                <c:pt idx="19">
                  <c:v>2.5329963086252834</c:v>
                </c:pt>
                <c:pt idx="20">
                  <c:v>2.624884811900746</c:v>
                </c:pt>
                <c:pt idx="21">
                  <c:v>2.6213332897836459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7-42A9-946B-25127D2AB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971199"/>
        <c:axId val="281967839"/>
      </c:lineChart>
      <c:catAx>
        <c:axId val="28197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67839"/>
        <c:crosses val="autoZero"/>
        <c:auto val="1"/>
        <c:lblAlgn val="ctr"/>
        <c:lblOffset val="100"/>
        <c:noMultiLvlLbl val="0"/>
      </c:catAx>
      <c:valAx>
        <c:axId val="28196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Error b/w Analytical and simulated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cat>
          <c:val>
            <c:numRef>
              <c:f>SRC_AnaVs.Sim!$Q$7:$Q$28</c:f>
              <c:numCache>
                <c:formatCode>General</c:formatCode>
                <c:ptCount val="22"/>
                <c:pt idx="0">
                  <c:v>44.075095119721723</c:v>
                </c:pt>
                <c:pt idx="1">
                  <c:v>40.355046528516304</c:v>
                </c:pt>
                <c:pt idx="2">
                  <c:v>39.257852651295501</c:v>
                </c:pt>
                <c:pt idx="3">
                  <c:v>15.546608289505748</c:v>
                </c:pt>
                <c:pt idx="4">
                  <c:v>7.1748607334718884</c:v>
                </c:pt>
                <c:pt idx="5">
                  <c:v>3.6390755522333507</c:v>
                </c:pt>
                <c:pt idx="6">
                  <c:v>1.9071892794335854</c:v>
                </c:pt>
                <c:pt idx="7">
                  <c:v>0.97819202632648539</c:v>
                </c:pt>
                <c:pt idx="8">
                  <c:v>0.4599551712169303</c:v>
                </c:pt>
                <c:pt idx="9">
                  <c:v>0.17621850996398791</c:v>
                </c:pt>
                <c:pt idx="10">
                  <c:v>3.8863739869410274E-2</c:v>
                </c:pt>
                <c:pt idx="11">
                  <c:v>0</c:v>
                </c:pt>
                <c:pt idx="12">
                  <c:v>0.43019392542938961</c:v>
                </c:pt>
                <c:pt idx="13">
                  <c:v>1.1165220411153149</c:v>
                </c:pt>
                <c:pt idx="14">
                  <c:v>1.9053014863990803</c:v>
                </c:pt>
                <c:pt idx="15">
                  <c:v>2.7041815937780553</c:v>
                </c:pt>
                <c:pt idx="16">
                  <c:v>3.4872826522278415</c:v>
                </c:pt>
                <c:pt idx="17">
                  <c:v>4.2471506602562341</c:v>
                </c:pt>
                <c:pt idx="18">
                  <c:v>4.9635950600198138</c:v>
                </c:pt>
                <c:pt idx="19">
                  <c:v>5.7275930678830376</c:v>
                </c:pt>
                <c:pt idx="20">
                  <c:v>6.4515028874679672</c:v>
                </c:pt>
                <c:pt idx="21">
                  <c:v>7.1233053626366925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F-4AB1-A1D9-81F7672B2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336383"/>
        <c:axId val="290665183"/>
      </c:lineChart>
      <c:catAx>
        <c:axId val="28133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65183"/>
        <c:crosses val="autoZero"/>
        <c:auto val="1"/>
        <c:lblAlgn val="ctr"/>
        <c:lblOffset val="100"/>
        <c:noMultiLvlLbl val="0"/>
      </c:catAx>
      <c:valAx>
        <c:axId val="290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SRC_AnaVs.Sim!$E$7:$E$28</c:f>
              <c:numCache>
                <c:formatCode>0.0000</c:formatCode>
                <c:ptCount val="22"/>
                <c:pt idx="0">
                  <c:v>1.8930982772880835E-3</c:v>
                </c:pt>
                <c:pt idx="1">
                  <c:v>3.7932929714131619E-3</c:v>
                </c:pt>
                <c:pt idx="2">
                  <c:v>7.6438917522420203E-3</c:v>
                </c:pt>
                <c:pt idx="3">
                  <c:v>1.5764028259999945E-2</c:v>
                </c:pt>
                <c:pt idx="4">
                  <c:v>2.4940614994447007E-2</c:v>
                </c:pt>
                <c:pt idx="5">
                  <c:v>3.60131661503044E-2</c:v>
                </c:pt>
                <c:pt idx="6">
                  <c:v>5.0387074645283768E-2</c:v>
                </c:pt>
                <c:pt idx="7">
                  <c:v>7.0769059675396345E-2</c:v>
                </c:pt>
                <c:pt idx="8">
                  <c:v>0.10331420181067388</c:v>
                </c:pt>
                <c:pt idx="9">
                  <c:v>0.16584176926014774</c:v>
                </c:pt>
                <c:pt idx="10">
                  <c:v>0.33744311038609276</c:v>
                </c:pt>
                <c:pt idx="11">
                  <c:v>1</c:v>
                </c:pt>
                <c:pt idx="12">
                  <c:v>0.36850541712574764</c:v>
                </c:pt>
                <c:pt idx="13">
                  <c:v>0.20213088840177007</c:v>
                </c:pt>
                <c:pt idx="14">
                  <c:v>0.14115185302122002</c:v>
                </c:pt>
                <c:pt idx="15">
                  <c:v>0.10969589882840201</c:v>
                </c:pt>
                <c:pt idx="16">
                  <c:v>9.0439931188210823E-2</c:v>
                </c:pt>
                <c:pt idx="17">
                  <c:v>7.7384420157782352E-2</c:v>
                </c:pt>
                <c:pt idx="18">
                  <c:v>6.7911875362824226E-2</c:v>
                </c:pt>
                <c:pt idx="19">
                  <c:v>6.0699533814706171E-2</c:v>
                </c:pt>
                <c:pt idx="20">
                  <c:v>5.5006938259178802E-2</c:v>
                </c:pt>
                <c:pt idx="21">
                  <c:v>5.0387074645283768E-2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4-4199-86E4-8D328894DE1B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SRC_AnaVs.Sim!$F$7:$F$28</c:f>
              <c:numCache>
                <c:formatCode>General</c:formatCode>
                <c:ptCount val="22"/>
                <c:pt idx="0">
                  <c:v>3.7400000000000003E-2</c:v>
                </c:pt>
                <c:pt idx="1">
                  <c:v>5.3800000000000001E-2</c:v>
                </c:pt>
                <c:pt idx="2">
                  <c:v>5.9400000000000001E-2</c:v>
                </c:pt>
                <c:pt idx="3">
                  <c:v>0.1996</c:v>
                </c:pt>
                <c:pt idx="4">
                  <c:v>0.1193</c:v>
                </c:pt>
                <c:pt idx="5">
                  <c:v>7.5700000000000003E-2</c:v>
                </c:pt>
                <c:pt idx="6">
                  <c:v>5.9400000000000001E-2</c:v>
                </c:pt>
                <c:pt idx="7">
                  <c:v>7.6700000000000004E-2</c:v>
                </c:pt>
                <c:pt idx="8">
                  <c:v>0.108</c:v>
                </c:pt>
                <c:pt idx="9">
                  <c:v>0.17019999999999999</c:v>
                </c:pt>
                <c:pt idx="10">
                  <c:v>0.34320000000000001</c:v>
                </c:pt>
                <c:pt idx="11">
                  <c:v>0.99829999999999997</c:v>
                </c:pt>
                <c:pt idx="12">
                  <c:v>0.3624</c:v>
                </c:pt>
                <c:pt idx="13">
                  <c:v>0.19889999999999999</c:v>
                </c:pt>
                <c:pt idx="14">
                  <c:v>0.13869999999999999</c:v>
                </c:pt>
                <c:pt idx="15">
                  <c:v>0.1075</c:v>
                </c:pt>
                <c:pt idx="16">
                  <c:v>8.8499999999999995E-2</c:v>
                </c:pt>
                <c:pt idx="17">
                  <c:v>7.5700000000000003E-2</c:v>
                </c:pt>
                <c:pt idx="18">
                  <c:v>6.6299999999999998E-2</c:v>
                </c:pt>
                <c:pt idx="19">
                  <c:v>5.9200000000000003E-2</c:v>
                </c:pt>
                <c:pt idx="20">
                  <c:v>5.3600000000000002E-2</c:v>
                </c:pt>
                <c:pt idx="21">
                  <c:v>4.9099999999999998E-2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14-4199-86E4-8D328894D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SRC_AnaVs.Sim!$O$7:$O$28</c:f>
              <c:numCache>
                <c:formatCode>0.0000</c:formatCode>
                <c:ptCount val="22"/>
                <c:pt idx="0">
                  <c:v>0.18606215853668581</c:v>
                </c:pt>
                <c:pt idx="1">
                  <c:v>0.35476818324838505</c:v>
                </c:pt>
                <c:pt idx="2">
                  <c:v>0.607421473487045</c:v>
                </c:pt>
                <c:pt idx="3">
                  <c:v>0.84453391710494252</c:v>
                </c:pt>
                <c:pt idx="4">
                  <c:v>0.92825139266528112</c:v>
                </c:pt>
                <c:pt idx="5">
                  <c:v>0.96360924447766649</c:v>
                </c:pt>
                <c:pt idx="6">
                  <c:v>0.98092810720566415</c:v>
                </c:pt>
                <c:pt idx="7">
                  <c:v>0.99021807973673515</c:v>
                </c:pt>
                <c:pt idx="8">
                  <c:v>0.9954004482878307</c:v>
                </c:pt>
                <c:pt idx="9">
                  <c:v>0.99823781490036012</c:v>
                </c:pt>
                <c:pt idx="10">
                  <c:v>0.9996113626013059</c:v>
                </c:pt>
                <c:pt idx="11">
                  <c:v>1</c:v>
                </c:pt>
                <c:pt idx="12">
                  <c:v>0.9996821503337241</c:v>
                </c:pt>
                <c:pt idx="13">
                  <c:v>0.99882900472213709</c:v>
                </c:pt>
                <c:pt idx="14">
                  <c:v>0.99755099625036059</c:v>
                </c:pt>
                <c:pt idx="15">
                  <c:v>0.99592244891486581</c:v>
                </c:pt>
                <c:pt idx="16">
                  <c:v>0.99399534987464844</c:v>
                </c:pt>
                <c:pt idx="17">
                  <c:v>0.99180739138167784</c:v>
                </c:pt>
                <c:pt idx="18">
                  <c:v>0.98938684703574675</c:v>
                </c:pt>
                <c:pt idx="19">
                  <c:v>0.98675562610255241</c:v>
                </c:pt>
                <c:pt idx="20">
                  <c:v>0.98393124118886643</c:v>
                </c:pt>
                <c:pt idx="21">
                  <c:v>0.98092810720566415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14-4199-86E4-8D328894DE1B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SRC_AnaVs.Sim!$P$7:$P$28</c:f>
              <c:numCache>
                <c:formatCode>General</c:formatCode>
                <c:ptCount val="22"/>
                <c:pt idx="0">
                  <c:v>0.3327</c:v>
                </c:pt>
                <c:pt idx="1">
                  <c:v>0.5948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0.99539999999999995</c:v>
                </c:pt>
                <c:pt idx="13">
                  <c:v>0.98780000000000001</c:v>
                </c:pt>
                <c:pt idx="14">
                  <c:v>0.97889999999999999</c:v>
                </c:pt>
                <c:pt idx="15">
                  <c:v>0.96970000000000001</c:v>
                </c:pt>
                <c:pt idx="16">
                  <c:v>0.96050000000000002</c:v>
                </c:pt>
                <c:pt idx="17">
                  <c:v>0.95140000000000002</c:v>
                </c:pt>
                <c:pt idx="18">
                  <c:v>0.94259999999999999</c:v>
                </c:pt>
                <c:pt idx="19">
                  <c:v>0.93330000000000002</c:v>
                </c:pt>
                <c:pt idx="20">
                  <c:v>0.92430000000000001</c:v>
                </c:pt>
                <c:pt idx="21">
                  <c:v>0.91569999999999996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14-4199-86E4-8D328894D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(fs/fr-fr/fs)^2 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SRC_AnaVs.Sim!$H$7:$H$28</c:f>
              <c:numCache>
                <c:formatCode>General</c:formatCode>
                <c:ptCount val="22"/>
                <c:pt idx="0">
                  <c:v>1598.0006250000001</c:v>
                </c:pt>
                <c:pt idx="1">
                  <c:v>398.0025</c:v>
                </c:pt>
                <c:pt idx="2">
                  <c:v>98.01</c:v>
                </c:pt>
                <c:pt idx="3">
                  <c:v>23.04</c:v>
                </c:pt>
                <c:pt idx="4">
                  <c:v>9.2011111111111124</c:v>
                </c:pt>
                <c:pt idx="5">
                  <c:v>4.41</c:v>
                </c:pt>
                <c:pt idx="6">
                  <c:v>2.25</c:v>
                </c:pt>
                <c:pt idx="7">
                  <c:v>1.1377777777777782</c:v>
                </c:pt>
                <c:pt idx="8">
                  <c:v>0.53081632653061239</c:v>
                </c:pt>
                <c:pt idx="9">
                  <c:v>0.20249999999999996</c:v>
                </c:pt>
                <c:pt idx="10">
                  <c:v>4.4567901234567914E-2</c:v>
                </c:pt>
                <c:pt idx="11">
                  <c:v>0</c:v>
                </c:pt>
                <c:pt idx="12">
                  <c:v>3.644628099173558E-2</c:v>
                </c:pt>
                <c:pt idx="13">
                  <c:v>0.13444444444444439</c:v>
                </c:pt>
                <c:pt idx="14">
                  <c:v>0.28171597633136097</c:v>
                </c:pt>
                <c:pt idx="15">
                  <c:v>0.47020408163265293</c:v>
                </c:pt>
                <c:pt idx="16">
                  <c:v>0.69444444444444453</c:v>
                </c:pt>
                <c:pt idx="17">
                  <c:v>0.95062500000000016</c:v>
                </c:pt>
                <c:pt idx="18">
                  <c:v>1.2360207612456748</c:v>
                </c:pt>
                <c:pt idx="19">
                  <c:v>1.548641975308642</c:v>
                </c:pt>
                <c:pt idx="20">
                  <c:v>1.8870083102493076</c:v>
                </c:pt>
                <c:pt idx="2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B-4BEC-866A-46476288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518927"/>
        <c:axId val="1162525167"/>
      </c:scatterChart>
      <c:valAx>
        <c:axId val="11625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25167"/>
        <c:crosses val="autoZero"/>
        <c:crossBetween val="midCat"/>
      </c:valAx>
      <c:valAx>
        <c:axId val="11625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Error b/w Analytical and simulated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cat>
          <c:val>
            <c:numRef>
              <c:f>PRC_AnaVs.Sim!$G$7:$G$28</c:f>
              <c:numCache>
                <c:formatCode>0.0000</c:formatCode>
                <c:ptCount val="22"/>
                <c:pt idx="0">
                  <c:v>9.0430771344347143</c:v>
                </c:pt>
                <c:pt idx="1">
                  <c:v>4.5230650283566085</c:v>
                </c:pt>
                <c:pt idx="2">
                  <c:v>4.5832914698898799</c:v>
                </c:pt>
                <c:pt idx="3">
                  <c:v>1.046780251044181</c:v>
                </c:pt>
                <c:pt idx="4">
                  <c:v>33.53103251345798</c:v>
                </c:pt>
                <c:pt idx="5">
                  <c:v>27.658183994988544</c:v>
                </c:pt>
                <c:pt idx="6">
                  <c:v>23.397640516620267</c:v>
                </c:pt>
                <c:pt idx="7">
                  <c:v>19.811630878658622</c:v>
                </c:pt>
                <c:pt idx="8">
                  <c:v>16.619983026172324</c:v>
                </c:pt>
                <c:pt idx="9">
                  <c:v>13.924226802094113</c:v>
                </c:pt>
                <c:pt idx="10">
                  <c:v>11.664919454590125</c:v>
                </c:pt>
                <c:pt idx="11">
                  <c:v>9.5325241410231794</c:v>
                </c:pt>
                <c:pt idx="12">
                  <c:v>7.6665626379384708</c:v>
                </c:pt>
                <c:pt idx="13">
                  <c:v>6.0063644601947326</c:v>
                </c:pt>
                <c:pt idx="14">
                  <c:v>4.4220985379666384</c:v>
                </c:pt>
                <c:pt idx="15">
                  <c:v>3.0897649604927602</c:v>
                </c:pt>
                <c:pt idx="16">
                  <c:v>1.8116113967866978</c:v>
                </c:pt>
                <c:pt idx="17">
                  <c:v>0.53685991643415665</c:v>
                </c:pt>
                <c:pt idx="18">
                  <c:v>0.69179738867045415</c:v>
                </c:pt>
                <c:pt idx="19">
                  <c:v>1.6698352147942352</c:v>
                </c:pt>
                <c:pt idx="20">
                  <c:v>2.6096491510864279</c:v>
                </c:pt>
                <c:pt idx="21">
                  <c:v>3.6029659229043429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7-4CDC-B61F-7EAE1B4EA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971199"/>
        <c:axId val="281967839"/>
      </c:lineChart>
      <c:catAx>
        <c:axId val="28197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67839"/>
        <c:crosses val="autoZero"/>
        <c:auto val="1"/>
        <c:lblAlgn val="ctr"/>
        <c:lblOffset val="100"/>
        <c:noMultiLvlLbl val="0"/>
      </c:catAx>
      <c:valAx>
        <c:axId val="28196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Error b/w Analytical and simulated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cat>
          <c:val>
            <c:numRef>
              <c:f>PRC_AnaVs.Sim!$Q$7:$Q$28</c:f>
              <c:numCache>
                <c:formatCode>General</c:formatCode>
                <c:ptCount val="22"/>
                <c:pt idx="0">
                  <c:v>18.525918734691693</c:v>
                </c:pt>
                <c:pt idx="1">
                  <c:v>17.85349000497769</c:v>
                </c:pt>
                <c:pt idx="2">
                  <c:v>17.20008522606776</c:v>
                </c:pt>
                <c:pt idx="3">
                  <c:v>57.500749329624405</c:v>
                </c:pt>
                <c:pt idx="4">
                  <c:v>39.742078094512749</c:v>
                </c:pt>
                <c:pt idx="5">
                  <c:v>6.8403546717147781E-2</c:v>
                </c:pt>
                <c:pt idx="6">
                  <c:v>9.062318755631253</c:v>
                </c:pt>
                <c:pt idx="7">
                  <c:v>4.4810681296581887</c:v>
                </c:pt>
                <c:pt idx="8">
                  <c:v>2.6662884636093169</c:v>
                </c:pt>
                <c:pt idx="9">
                  <c:v>2.0971322880131407</c:v>
                </c:pt>
                <c:pt idx="10">
                  <c:v>1.6235256151281987</c:v>
                </c:pt>
                <c:pt idx="11">
                  <c:v>1.3267148756936133</c:v>
                </c:pt>
                <c:pt idx="12">
                  <c:v>0.86379274266799244</c:v>
                </c:pt>
                <c:pt idx="13">
                  <c:v>1.019470861937237</c:v>
                </c:pt>
                <c:pt idx="14">
                  <c:v>1.1062795027537775</c:v>
                </c:pt>
                <c:pt idx="15">
                  <c:v>1.0331015129233827</c:v>
                </c:pt>
                <c:pt idx="16">
                  <c:v>1.124524342709571</c:v>
                </c:pt>
                <c:pt idx="17">
                  <c:v>1.1935842520082418</c:v>
                </c:pt>
                <c:pt idx="18">
                  <c:v>1.2994035642294506</c:v>
                </c:pt>
                <c:pt idx="19">
                  <c:v>1.343554509381758</c:v>
                </c:pt>
                <c:pt idx="20">
                  <c:v>1.3857476158113748</c:v>
                </c:pt>
                <c:pt idx="21">
                  <c:v>1.4114108690186493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A-45A6-B7E1-34BCCB05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336383"/>
        <c:axId val="290665183"/>
      </c:lineChart>
      <c:catAx>
        <c:axId val="28133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65183"/>
        <c:crosses val="autoZero"/>
        <c:auto val="1"/>
        <c:lblAlgn val="ctr"/>
        <c:lblOffset val="100"/>
        <c:noMultiLvlLbl val="0"/>
      </c:catAx>
      <c:valAx>
        <c:axId val="290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PRC_AnaVs.Sim!$E$7:$E$28</c:f>
              <c:numCache>
                <c:formatCode>0.0000</c:formatCode>
                <c:ptCount val="22"/>
                <c:pt idx="0">
                  <c:v>0.79259862585053587</c:v>
                </c:pt>
                <c:pt idx="1">
                  <c:v>0.74510200051870501</c:v>
                </c:pt>
                <c:pt idx="2">
                  <c:v>0.61557725359177184</c:v>
                </c:pt>
                <c:pt idx="3">
                  <c:v>0.40853213255497162</c:v>
                </c:pt>
                <c:pt idx="4">
                  <c:v>0.29379283629051572</c:v>
                </c:pt>
                <c:pt idx="5">
                  <c:v>0.22686393499171592</c:v>
                </c:pt>
                <c:pt idx="6">
                  <c:v>0.18399886747907812</c:v>
                </c:pt>
                <c:pt idx="7">
                  <c:v>0.15444279892770349</c:v>
                </c:pt>
                <c:pt idx="8">
                  <c:v>0.13290774705628131</c:v>
                </c:pt>
                <c:pt idx="9">
                  <c:v>0.11654659690996456</c:v>
                </c:pt>
                <c:pt idx="10">
                  <c:v>0.1037053845603112</c:v>
                </c:pt>
                <c:pt idx="11">
                  <c:v>9.336243508646408E-2</c:v>
                </c:pt>
                <c:pt idx="12">
                  <c:v>8.4854428935734541E-2</c:v>
                </c:pt>
                <c:pt idx="13">
                  <c:v>7.7732736591418952E-2</c:v>
                </c:pt>
                <c:pt idx="14">
                  <c:v>7.1683426096525019E-2</c:v>
                </c:pt>
                <c:pt idx="15">
                  <c:v>6.6480421237101961E-2</c:v>
                </c:pt>
                <c:pt idx="16">
                  <c:v>6.1956873208627597E-2</c:v>
                </c:pt>
                <c:pt idx="17">
                  <c:v>5.7987010668718884E-2</c:v>
                </c:pt>
                <c:pt idx="18">
                  <c:v>5.4474262387270718E-2</c:v>
                </c:pt>
                <c:pt idx="19">
                  <c:v>5.1343266783471092E-2</c:v>
                </c:pt>
                <c:pt idx="20">
                  <c:v>4.8534364048463882E-2</c:v>
                </c:pt>
                <c:pt idx="21">
                  <c:v>4.599971686976953E-2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A-46FA-8A1B-1938801E112B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PRC_AnaVs.Sim!$F$7:$F$28</c:f>
              <c:numCache>
                <c:formatCode>General</c:formatCode>
                <c:ptCount val="22"/>
                <c:pt idx="0">
                  <c:v>0.87139999999999995</c:v>
                </c:pt>
                <c:pt idx="1">
                  <c:v>0.78039999999999998</c:v>
                </c:pt>
                <c:pt idx="2">
                  <c:v>0.58860000000000001</c:v>
                </c:pt>
                <c:pt idx="3">
                  <c:v>0.40429999999999999</c:v>
                </c:pt>
                <c:pt idx="4">
                  <c:v>0.442</c:v>
                </c:pt>
                <c:pt idx="5">
                  <c:v>0.31359999999999999</c:v>
                </c:pt>
                <c:pt idx="6">
                  <c:v>0.2402</c:v>
                </c:pt>
                <c:pt idx="7">
                  <c:v>0.19259999999999999</c:v>
                </c:pt>
                <c:pt idx="8">
                  <c:v>0.15939999999999999</c:v>
                </c:pt>
                <c:pt idx="9">
                  <c:v>0.13539999999999999</c:v>
                </c:pt>
                <c:pt idx="10">
                  <c:v>0.1174</c:v>
                </c:pt>
                <c:pt idx="11">
                  <c:v>0.1032</c:v>
                </c:pt>
                <c:pt idx="12">
                  <c:v>9.1899999999999996E-2</c:v>
                </c:pt>
                <c:pt idx="13">
                  <c:v>8.2699999999999996E-2</c:v>
                </c:pt>
                <c:pt idx="14">
                  <c:v>7.4999999999999997E-2</c:v>
                </c:pt>
                <c:pt idx="15">
                  <c:v>6.8599999999999994E-2</c:v>
                </c:pt>
                <c:pt idx="16">
                  <c:v>6.3100000000000003E-2</c:v>
                </c:pt>
                <c:pt idx="17">
                  <c:v>5.8299999999999998E-2</c:v>
                </c:pt>
                <c:pt idx="18">
                  <c:v>5.4100000000000002E-2</c:v>
                </c:pt>
                <c:pt idx="19">
                  <c:v>5.0500000000000003E-2</c:v>
                </c:pt>
                <c:pt idx="20">
                  <c:v>4.7300000000000002E-2</c:v>
                </c:pt>
                <c:pt idx="21">
                  <c:v>4.4400000000000002E-2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9A-46FA-8A1B-1938801E1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PRC_AnaVs.Sim!$O$7:$O$28</c:f>
              <c:numCache>
                <c:formatCode>0.0000</c:formatCode>
                <c:ptCount val="22"/>
                <c:pt idx="0">
                  <c:v>0.81107447899614427</c:v>
                </c:pt>
                <c:pt idx="1">
                  <c:v>0.81259327687076066</c:v>
                </c:pt>
                <c:pt idx="2">
                  <c:v>0.81872555728464202</c:v>
                </c:pt>
                <c:pt idx="3">
                  <c:v>0.8442051153163409</c:v>
                </c:pt>
                <c:pt idx="4">
                  <c:v>0.89037105407547967</c:v>
                </c:pt>
                <c:pt idx="5">
                  <c:v>0.96414004258127295</c:v>
                </c:pt>
                <c:pt idx="6">
                  <c:v>1.0789535194494599</c:v>
                </c:pt>
                <c:pt idx="7">
                  <c:v>1.2623402651425302</c:v>
                </c:pt>
                <c:pt idx="8">
                  <c:v>1.5781861862626023</c:v>
                </c:pt>
                <c:pt idx="9">
                  <c:v>2.2108113025646365</c:v>
                </c:pt>
                <c:pt idx="10">
                  <c:v>3.9455333820073522</c:v>
                </c:pt>
                <c:pt idx="11">
                  <c:v>9.3362435086464099</c:v>
                </c:pt>
                <c:pt idx="12">
                  <c:v>3.513585457614361</c:v>
                </c:pt>
                <c:pt idx="13">
                  <c:v>1.7926363632194546</c:v>
                </c:pt>
                <c:pt idx="14">
                  <c:v>1.1593310853892174</c:v>
                </c:pt>
                <c:pt idx="15">
                  <c:v>0.83765582879461653</c:v>
                </c:pt>
                <c:pt idx="16">
                  <c:v>0.64496472771250546</c:v>
                </c:pt>
                <c:pt idx="17">
                  <c:v>0.51754800568798087</c:v>
                </c:pt>
                <c:pt idx="18">
                  <c:v>0.42757098375975799</c:v>
                </c:pt>
                <c:pt idx="19">
                  <c:v>0.36098393405017215</c:v>
                </c:pt>
                <c:pt idx="20">
                  <c:v>0.30994459524350487</c:v>
                </c:pt>
                <c:pt idx="21">
                  <c:v>0.26973837986236499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D9-4360-9956-C110F741AC24}"/>
            </c:ext>
          </c:extLst>
        </c:ser>
        <c:ser>
          <c:idx val="1"/>
          <c:order val="1"/>
          <c:tx>
            <c:v>Simulated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PRC_AnaVs.Sim!$N$7:$N$28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PRC_AnaVs.Sim!$P$7:$P$28</c:f>
              <c:numCache>
                <c:formatCode>General</c:formatCode>
                <c:ptCount val="22"/>
                <c:pt idx="0">
                  <c:v>0.99550000000000005</c:v>
                </c:pt>
                <c:pt idx="1">
                  <c:v>0.98919999999999997</c:v>
                </c:pt>
                <c:pt idx="2">
                  <c:v>0.98880000000000001</c:v>
                </c:pt>
                <c:pt idx="3">
                  <c:v>1.9863999999999999</c:v>
                </c:pt>
                <c:pt idx="4">
                  <c:v>1.4776</c:v>
                </c:pt>
                <c:pt idx="5">
                  <c:v>0.96479999999999999</c:v>
                </c:pt>
                <c:pt idx="6">
                  <c:v>0.98929999999999996</c:v>
                </c:pt>
                <c:pt idx="7">
                  <c:v>1.2081999999999999</c:v>
                </c:pt>
                <c:pt idx="8">
                  <c:v>1.5371999999999999</c:v>
                </c:pt>
                <c:pt idx="9">
                  <c:v>2.1654</c:v>
                </c:pt>
                <c:pt idx="10">
                  <c:v>3.8824999999999998</c:v>
                </c:pt>
                <c:pt idx="11">
                  <c:v>9.2140000000000004</c:v>
                </c:pt>
                <c:pt idx="12">
                  <c:v>3.5442</c:v>
                </c:pt>
                <c:pt idx="13">
                  <c:v>1.8110999999999999</c:v>
                </c:pt>
                <c:pt idx="14">
                  <c:v>1.1722999999999999</c:v>
                </c:pt>
                <c:pt idx="15">
                  <c:v>0.84640000000000004</c:v>
                </c:pt>
                <c:pt idx="16">
                  <c:v>0.65229999999999999</c:v>
                </c:pt>
                <c:pt idx="17">
                  <c:v>0.52380000000000004</c:v>
                </c:pt>
                <c:pt idx="18">
                  <c:v>0.43319999999999997</c:v>
                </c:pt>
                <c:pt idx="19">
                  <c:v>0.3659</c:v>
                </c:pt>
                <c:pt idx="20">
                  <c:v>0.31430000000000002</c:v>
                </c:pt>
                <c:pt idx="21">
                  <c:v>0.27360000000000001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D9-4360-9956-C110F741A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24879"/>
        <c:axId val="641625359"/>
      </c:scatterChart>
      <c:valAx>
        <c:axId val="641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5359"/>
        <c:crosses val="autoZero"/>
        <c:crossBetween val="midCat"/>
        <c:majorUnit val="20"/>
      </c:valAx>
      <c:valAx>
        <c:axId val="64162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2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(1-fs/fr)^2 term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PRC_AnaVs.Sim!$D$7:$D$28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140</c:v>
                </c:pt>
                <c:pt idx="9">
                  <c:v>160</c:v>
                </c:pt>
                <c:pt idx="10">
                  <c:v>180</c:v>
                </c:pt>
                <c:pt idx="11">
                  <c:v>200</c:v>
                </c:pt>
                <c:pt idx="12">
                  <c:v>220</c:v>
                </c:pt>
                <c:pt idx="13">
                  <c:v>240</c:v>
                </c:pt>
                <c:pt idx="14">
                  <c:v>260</c:v>
                </c:pt>
                <c:pt idx="15">
                  <c:v>280</c:v>
                </c:pt>
                <c:pt idx="16">
                  <c:v>300</c:v>
                </c:pt>
                <c:pt idx="17">
                  <c:v>320</c:v>
                </c:pt>
                <c:pt idx="18">
                  <c:v>340</c:v>
                </c:pt>
                <c:pt idx="19">
                  <c:v>360</c:v>
                </c:pt>
                <c:pt idx="20">
                  <c:v>380</c:v>
                </c:pt>
                <c:pt idx="21">
                  <c:v>400</c:v>
                </c:pt>
              </c:numCache>
            </c:numRef>
          </c:xVal>
          <c:yVal>
            <c:numRef>
              <c:f>PRC_AnaVs.Sim!$H$7:$H$28</c:f>
              <c:numCache>
                <c:formatCode>General</c:formatCode>
                <c:ptCount val="22"/>
                <c:pt idx="0">
                  <c:v>0.99875039062500004</c:v>
                </c:pt>
                <c:pt idx="1">
                  <c:v>0.99500625000000009</c:v>
                </c:pt>
                <c:pt idx="2">
                  <c:v>0.98009999999999997</c:v>
                </c:pt>
                <c:pt idx="3">
                  <c:v>0.92159999999999997</c:v>
                </c:pt>
                <c:pt idx="4">
                  <c:v>0.82810000000000006</c:v>
                </c:pt>
                <c:pt idx="5">
                  <c:v>0.70559999999999989</c:v>
                </c:pt>
                <c:pt idx="6">
                  <c:v>0.5625</c:v>
                </c:pt>
                <c:pt idx="7">
                  <c:v>0.40960000000000002</c:v>
                </c:pt>
                <c:pt idx="8">
                  <c:v>0.2601</c:v>
                </c:pt>
                <c:pt idx="9">
                  <c:v>0.12959999999999991</c:v>
                </c:pt>
                <c:pt idx="10">
                  <c:v>3.6099999999999979E-2</c:v>
                </c:pt>
                <c:pt idx="11">
                  <c:v>0</c:v>
                </c:pt>
                <c:pt idx="12">
                  <c:v>4.4100000000000077E-2</c:v>
                </c:pt>
                <c:pt idx="13">
                  <c:v>0.19359999999999997</c:v>
                </c:pt>
                <c:pt idx="14">
                  <c:v>0.47610000000000025</c:v>
                </c:pt>
                <c:pt idx="15">
                  <c:v>0.92159999999999953</c:v>
                </c:pt>
                <c:pt idx="16">
                  <c:v>1.5625</c:v>
                </c:pt>
                <c:pt idx="17">
                  <c:v>2.4336000000000015</c:v>
                </c:pt>
                <c:pt idx="18">
                  <c:v>3.5720999999999989</c:v>
                </c:pt>
                <c:pt idx="19">
                  <c:v>5.0176000000000007</c:v>
                </c:pt>
                <c:pt idx="20">
                  <c:v>6.8120999999999992</c:v>
                </c:pt>
                <c:pt idx="2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3-40F8-A877-C965A52F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518927"/>
        <c:axId val="1162525167"/>
      </c:scatterChart>
      <c:valAx>
        <c:axId val="11625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25167"/>
        <c:crosses val="autoZero"/>
        <c:crossBetween val="midCat"/>
      </c:valAx>
      <c:valAx>
        <c:axId val="11625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259080</xdr:colOff>
      <xdr:row>56</xdr:row>
      <xdr:rowOff>34290</xdr:rowOff>
    </xdr:from>
    <xdr:to>
      <xdr:col>7</xdr:col>
      <xdr:colOff>327660</xdr:colOff>
      <xdr:row>68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0D233-9CFD-B351-28C3-CC149ADEB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56</xdr:row>
      <xdr:rowOff>30480</xdr:rowOff>
    </xdr:from>
    <xdr:to>
      <xdr:col>14</xdr:col>
      <xdr:colOff>518160</xdr:colOff>
      <xdr:row>68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F8F69E-01DE-43A9-B75F-2608C45C5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134869</xdr:colOff>
      <xdr:row>15</xdr:row>
      <xdr:rowOff>226576</xdr:rowOff>
    </xdr:from>
    <xdr:to>
      <xdr:col>10</xdr:col>
      <xdr:colOff>499010</xdr:colOff>
      <xdr:row>27</xdr:row>
      <xdr:rowOff>134192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68CBEE-FDBF-2D92-7761-4DAA25890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316938</xdr:colOff>
      <xdr:row>7</xdr:row>
      <xdr:rowOff>128124</xdr:rowOff>
    </xdr:from>
    <xdr:to>
      <xdr:col>2</xdr:col>
      <xdr:colOff>458549</xdr:colOff>
      <xdr:row>14</xdr:row>
      <xdr:rowOff>33717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E9D6A79B-1B3D-27FA-E8AD-F63262826820}"/>
            </a:ext>
          </a:extLst>
        </xdr:cNvPr>
        <xdr:cNvSpPr/>
      </xdr:nvSpPr>
      <xdr:spPr>
        <a:xfrm>
          <a:off x="1604920" y="1901628"/>
          <a:ext cx="141611" cy="151051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14</xdr:row>
      <xdr:rowOff>11430</xdr:rowOff>
    </xdr:from>
    <xdr:to>
      <xdr:col>10</xdr:col>
      <xdr:colOff>411480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9EB2B-B3BE-A304-37DE-036B9E63C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5</xdr:row>
      <xdr:rowOff>129540</xdr:rowOff>
    </xdr:from>
    <xdr:to>
      <xdr:col>2</xdr:col>
      <xdr:colOff>525780</xdr:colOff>
      <xdr:row>9</xdr:row>
      <xdr:rowOff>190500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6C04CEBC-D48C-0993-1816-04A2CD57E9C0}"/>
            </a:ext>
          </a:extLst>
        </xdr:cNvPr>
        <xdr:cNvSpPr/>
      </xdr:nvSpPr>
      <xdr:spPr>
        <a:xfrm>
          <a:off x="1668780" y="1470660"/>
          <a:ext cx="175260" cy="975360"/>
        </a:xfrm>
        <a:prstGeom prst="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76200</xdr:colOff>
      <xdr:row>26</xdr:row>
      <xdr:rowOff>133350</xdr:rowOff>
    </xdr:from>
    <xdr:to>
      <xdr:col>8</xdr:col>
      <xdr:colOff>601980</xdr:colOff>
      <xdr:row>38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FAB3FD-54D4-FB57-4E03-F2300BAC8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254433</xdr:colOff>
      <xdr:row>29</xdr:row>
      <xdr:rowOff>110594</xdr:rowOff>
    </xdr:from>
    <xdr:to>
      <xdr:col>10</xdr:col>
      <xdr:colOff>252749</xdr:colOff>
      <xdr:row>44</xdr:row>
      <xdr:rowOff>103477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5FBA1C-F05E-E7ED-D089-537E8EA46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477608</xdr:colOff>
      <xdr:row>29</xdr:row>
      <xdr:rowOff>104358</xdr:rowOff>
    </xdr:from>
    <xdr:to>
      <xdr:col>20</xdr:col>
      <xdr:colOff>86238</xdr:colOff>
      <xdr:row>44</xdr:row>
      <xdr:rowOff>105404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DEF138-8570-5258-BE71-CB60B1AC1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231635</xdr:colOff>
      <xdr:row>45</xdr:row>
      <xdr:rowOff>67722</xdr:rowOff>
    </xdr:from>
    <xdr:to>
      <xdr:col>10</xdr:col>
      <xdr:colOff>232673</xdr:colOff>
      <xdr:row>60</xdr:row>
      <xdr:rowOff>53801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AEC18E-BB89-57D7-779B-BCA40508E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492159</xdr:colOff>
      <xdr:row>45</xdr:row>
      <xdr:rowOff>91064</xdr:rowOff>
    </xdr:from>
    <xdr:to>
      <xdr:col>20</xdr:col>
      <xdr:colOff>104871</xdr:colOff>
      <xdr:row>60</xdr:row>
      <xdr:rowOff>78503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4330B5-BAE2-B059-020D-34FFF29CB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202222</xdr:colOff>
      <xdr:row>61</xdr:row>
      <xdr:rowOff>29308</xdr:rowOff>
    </xdr:from>
    <xdr:to>
      <xdr:col>10</xdr:col>
      <xdr:colOff>282391</xdr:colOff>
      <xdr:row>76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A64B8-52E8-89EB-8046-CA0B0EE6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254433</xdr:colOff>
      <xdr:row>29</xdr:row>
      <xdr:rowOff>110594</xdr:rowOff>
    </xdr:from>
    <xdr:to>
      <xdr:col>8</xdr:col>
      <xdr:colOff>790833</xdr:colOff>
      <xdr:row>44</xdr:row>
      <xdr:rowOff>103477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3E89F-7353-468E-B9AA-B38E9B2B6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637628</xdr:colOff>
      <xdr:row>29</xdr:row>
      <xdr:rowOff>142458</xdr:rowOff>
    </xdr:from>
    <xdr:to>
      <xdr:col>19</xdr:col>
      <xdr:colOff>282488</xdr:colOff>
      <xdr:row>44</xdr:row>
      <xdr:rowOff>143504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A5F4C-A683-459B-B9D3-432474B32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231635</xdr:colOff>
      <xdr:row>45</xdr:row>
      <xdr:rowOff>67722</xdr:rowOff>
    </xdr:from>
    <xdr:to>
      <xdr:col>8</xdr:col>
      <xdr:colOff>768035</xdr:colOff>
      <xdr:row>60</xdr:row>
      <xdr:rowOff>53801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A12374-10F3-4F41-A321-AB125FFBB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629319</xdr:colOff>
      <xdr:row>45</xdr:row>
      <xdr:rowOff>98684</xdr:rowOff>
    </xdr:from>
    <xdr:to>
      <xdr:col>19</xdr:col>
      <xdr:colOff>274179</xdr:colOff>
      <xdr:row>60</xdr:row>
      <xdr:rowOff>86123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1F4523-AD3E-47BC-A53A-7E2C82B8C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202222</xdr:colOff>
      <xdr:row>61</xdr:row>
      <xdr:rowOff>29308</xdr:rowOff>
    </xdr:from>
    <xdr:to>
      <xdr:col>8</xdr:col>
      <xdr:colOff>738622</xdr:colOff>
      <xdr:row>76</xdr:row>
      <xdr:rowOff>46893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4D0BCB-9E42-45F7-B18F-504B03C74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157E-5BBB-44A3-BC8B-E9375778FA7C}">
  <dimension ref="A1:P15"/>
  <sheetViews>
    <sheetView tabSelected="1" zoomScale="113" workbookViewId="0">
      <selection activeCell="M13" sqref="M13"/>
    </sheetView>
  </sheetViews>
  <sheetFormatPr defaultColWidth="8.84375" defaultRowHeight="18.45" x14ac:dyDescent="0.5"/>
  <cols>
    <col min="1" max="1" width="9.84375" style="1" bestFit="1" customWidth="1"/>
    <col min="2" max="4" width="8.84375" style="1"/>
    <col min="5" max="5" width="17.84375" style="1" bestFit="1" customWidth="1"/>
    <col min="6" max="6" width="12.23046875" style="1" bestFit="1" customWidth="1"/>
    <col min="7" max="8" width="8.84375" style="1"/>
    <col min="9" max="9" width="12.53515625" style="1" bestFit="1" customWidth="1"/>
    <col min="10" max="10" width="15.765625" style="1" bestFit="1" customWidth="1"/>
    <col min="11" max="11" width="12.23046875" style="1" bestFit="1" customWidth="1"/>
    <col min="12" max="15" width="8.84375" style="1"/>
    <col min="16" max="16" width="12.3046875" style="1" bestFit="1" customWidth="1"/>
    <col min="17" max="16384" width="8.84375" style="1"/>
  </cols>
  <sheetData>
    <row r="1" spans="1:16" ht="30.9" x14ac:dyDescent="0.8">
      <c r="F1" s="75" t="s">
        <v>8</v>
      </c>
      <c r="G1" s="76"/>
      <c r="H1" s="76"/>
      <c r="I1" s="76"/>
      <c r="J1" s="77"/>
    </row>
    <row r="2" spans="1:16" x14ac:dyDescent="0.5">
      <c r="O2" s="1" t="s">
        <v>18</v>
      </c>
      <c r="P2" s="1">
        <v>200000</v>
      </c>
    </row>
    <row r="3" spans="1:16" x14ac:dyDescent="0.5">
      <c r="A3" s="9" t="s">
        <v>1</v>
      </c>
      <c r="B3" s="10">
        <v>200000</v>
      </c>
      <c r="D3" s="79" t="s">
        <v>3</v>
      </c>
      <c r="E3" s="79"/>
      <c r="F3" s="79"/>
      <c r="G3" s="79"/>
      <c r="I3" s="80"/>
      <c r="J3" s="80"/>
      <c r="K3" s="80"/>
      <c r="O3" s="1" t="s">
        <v>2</v>
      </c>
      <c r="P3" s="1">
        <v>500000</v>
      </c>
    </row>
    <row r="4" spans="1:16" x14ac:dyDescent="0.5">
      <c r="A4" s="2" t="s">
        <v>2</v>
      </c>
      <c r="B4" s="3">
        <v>250000</v>
      </c>
      <c r="D4" s="5" t="s">
        <v>0</v>
      </c>
      <c r="E4" s="5" t="s">
        <v>6</v>
      </c>
      <c r="F4" s="5" t="s">
        <v>7</v>
      </c>
      <c r="G4" s="5" t="s">
        <v>17</v>
      </c>
      <c r="I4" s="5"/>
      <c r="J4" s="5"/>
      <c r="K4" s="5"/>
      <c r="O4" s="23" t="s">
        <v>0</v>
      </c>
      <c r="P4" s="23" t="s">
        <v>17</v>
      </c>
    </row>
    <row r="5" spans="1:16" x14ac:dyDescent="0.5">
      <c r="D5" s="20">
        <v>0.01</v>
      </c>
      <c r="E5" s="30">
        <f>1/SQRT(1+D5^2*($B$4/$B$3-$B$3/$B$4)^2)</f>
        <v>0.9999898751537708</v>
      </c>
      <c r="F5" s="20">
        <v>0.99909999999999999</v>
      </c>
      <c r="G5" s="33">
        <f>(ABS(E5-F5))*100</f>
        <v>8.8987515377081383E-2</v>
      </c>
      <c r="I5" s="20"/>
      <c r="J5" s="20"/>
      <c r="K5" s="5"/>
      <c r="O5" s="5">
        <v>0.01</v>
      </c>
      <c r="P5" s="5">
        <v>2.0579999999999998</v>
      </c>
    </row>
    <row r="6" spans="1:16" x14ac:dyDescent="0.5">
      <c r="A6" s="1" t="s">
        <v>5</v>
      </c>
      <c r="B6" s="1">
        <f>B4/B3</f>
        <v>1.25</v>
      </c>
      <c r="D6" s="20">
        <v>0.1</v>
      </c>
      <c r="E6" s="24">
        <f>1/SQRT(1+D6^2*($B$4/$B$3-$B$3/$B$4)^2)</f>
        <v>0.99898903514403781</v>
      </c>
      <c r="F6" s="20">
        <v>0.98460000000000003</v>
      </c>
      <c r="G6" s="33">
        <f>(ABS(E6-F6))*100</f>
        <v>1.4389035144037776</v>
      </c>
      <c r="I6" s="20"/>
      <c r="J6" s="20"/>
      <c r="K6" s="5"/>
      <c r="O6" s="5">
        <v>0.1</v>
      </c>
      <c r="P6" s="5">
        <v>13.99</v>
      </c>
    </row>
    <row r="7" spans="1:16" x14ac:dyDescent="0.5">
      <c r="D7" s="22">
        <v>0.5</v>
      </c>
      <c r="E7" s="28">
        <f t="shared" ref="E7:E15" si="0">1/SQRT(1+D7^2*($B$4/$B$3-$B$3/$B$4)^2)</f>
        <v>0.97560975609756106</v>
      </c>
      <c r="F7" s="22">
        <v>0.91190000000000004</v>
      </c>
      <c r="G7" s="34">
        <f t="shared" ref="G7:G15" si="1">(ABS(E7-F7))*100</f>
        <v>6.3709756097561021</v>
      </c>
      <c r="I7" s="20"/>
      <c r="J7" s="20"/>
      <c r="K7" s="5"/>
      <c r="O7" s="21">
        <v>0.5</v>
      </c>
      <c r="P7" s="21">
        <v>15.13</v>
      </c>
    </row>
    <row r="8" spans="1:16" x14ac:dyDescent="0.5">
      <c r="D8" s="19">
        <v>1</v>
      </c>
      <c r="E8" s="31">
        <f t="shared" si="0"/>
        <v>0.91192150517510651</v>
      </c>
      <c r="F8" s="19">
        <v>0.8468</v>
      </c>
      <c r="G8" s="33">
        <f t="shared" si="1"/>
        <v>6.5121505175106513</v>
      </c>
      <c r="I8" s="19"/>
      <c r="J8" s="19"/>
      <c r="K8" s="5"/>
      <c r="O8" s="5">
        <v>1</v>
      </c>
      <c r="P8" s="5">
        <v>4.9939999999999998</v>
      </c>
    </row>
    <row r="9" spans="1:16" x14ac:dyDescent="0.5">
      <c r="D9" s="19">
        <v>5</v>
      </c>
      <c r="E9" s="31">
        <f t="shared" si="0"/>
        <v>0.40613846605344767</v>
      </c>
      <c r="F9" s="19">
        <v>0.38869999999999999</v>
      </c>
      <c r="G9" s="33">
        <f t="shared" si="1"/>
        <v>1.7438466053447677</v>
      </c>
      <c r="I9" s="19"/>
      <c r="J9" s="19"/>
      <c r="K9" s="5"/>
      <c r="O9" s="5">
        <v>5</v>
      </c>
      <c r="P9" s="5">
        <v>2.681</v>
      </c>
    </row>
    <row r="10" spans="1:16" x14ac:dyDescent="0.5">
      <c r="D10" s="19">
        <v>10</v>
      </c>
      <c r="E10" s="31">
        <f t="shared" si="0"/>
        <v>0.21693045781865616</v>
      </c>
      <c r="F10" s="19">
        <v>0.20699999999999999</v>
      </c>
      <c r="G10" s="33">
        <f t="shared" si="1"/>
        <v>0.99304578186561743</v>
      </c>
      <c r="I10" s="19"/>
      <c r="J10" s="19"/>
      <c r="K10" s="5"/>
      <c r="O10" s="5">
        <v>10</v>
      </c>
      <c r="P10" s="5">
        <v>2.0190000000000001</v>
      </c>
    </row>
    <row r="11" spans="1:16" x14ac:dyDescent="0.5">
      <c r="D11" s="19">
        <v>20</v>
      </c>
      <c r="E11" s="31">
        <f t="shared" si="0"/>
        <v>0.11043152607484656</v>
      </c>
      <c r="F11" s="19">
        <v>0.107</v>
      </c>
      <c r="G11" s="33">
        <f t="shared" si="1"/>
        <v>0.34315260748465637</v>
      </c>
      <c r="I11" s="19"/>
      <c r="J11" s="19"/>
      <c r="K11" s="5"/>
      <c r="O11" s="5">
        <v>20</v>
      </c>
      <c r="P11" s="5">
        <v>1.282</v>
      </c>
    </row>
    <row r="12" spans="1:16" x14ac:dyDescent="0.5">
      <c r="D12" s="19">
        <v>30</v>
      </c>
      <c r="E12" s="31">
        <f t="shared" si="0"/>
        <v>7.3871685515311786E-2</v>
      </c>
      <c r="F12" s="19">
        <v>7.1340000000000001E-2</v>
      </c>
      <c r="G12" s="33">
        <f t="shared" si="1"/>
        <v>0.25316855153117851</v>
      </c>
      <c r="I12" s="19"/>
      <c r="J12" s="19"/>
      <c r="K12" s="5"/>
      <c r="O12" s="5"/>
      <c r="P12" s="5"/>
    </row>
    <row r="13" spans="1:16" x14ac:dyDescent="0.5">
      <c r="D13" s="19">
        <v>40</v>
      </c>
      <c r="E13" s="31">
        <f t="shared" si="0"/>
        <v>5.5470019622522911E-2</v>
      </c>
      <c r="F13" s="19">
        <v>5.3530000000000001E-2</v>
      </c>
      <c r="G13" s="33">
        <f t="shared" si="1"/>
        <v>0.19400196225229094</v>
      </c>
      <c r="I13" s="19"/>
      <c r="J13" s="19"/>
      <c r="K13" s="5"/>
      <c r="O13" s="5"/>
      <c r="P13" s="5"/>
    </row>
    <row r="14" spans="1:16" x14ac:dyDescent="0.5">
      <c r="A14" s="78"/>
      <c r="B14" s="78"/>
      <c r="C14" s="78"/>
      <c r="D14" s="19">
        <v>50</v>
      </c>
      <c r="E14" s="31">
        <f t="shared" si="0"/>
        <v>4.440061362072039E-2</v>
      </c>
      <c r="F14" s="19">
        <v>4.3249999999999997E-2</v>
      </c>
      <c r="G14" s="33">
        <f t="shared" si="1"/>
        <v>0.11506136207203935</v>
      </c>
      <c r="I14" s="19"/>
      <c r="J14" s="19"/>
      <c r="K14" s="5"/>
    </row>
    <row r="15" spans="1:16" x14ac:dyDescent="0.5">
      <c r="D15" s="19">
        <v>60</v>
      </c>
      <c r="E15" s="32">
        <f t="shared" si="0"/>
        <v>3.7011660509880265E-2</v>
      </c>
      <c r="F15" s="19">
        <v>3.6040000000000003E-2</v>
      </c>
      <c r="G15" s="33">
        <f t="shared" si="1"/>
        <v>9.716605098802622E-2</v>
      </c>
      <c r="I15" s="19"/>
      <c r="J15" s="19"/>
      <c r="K15" s="5"/>
    </row>
  </sheetData>
  <mergeCells count="4">
    <mergeCell ref="F1:J1"/>
    <mergeCell ref="A14:C14"/>
    <mergeCell ref="D3:G3"/>
    <mergeCell ref="I3:K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433-FC7B-427D-AC85-3F4BC0385988}">
  <dimension ref="A1:Q34"/>
  <sheetViews>
    <sheetView zoomScaleNormal="100" workbookViewId="0">
      <selection activeCell="O6" sqref="O6"/>
    </sheetView>
  </sheetViews>
  <sheetFormatPr defaultColWidth="8.84375" defaultRowHeight="18.45" x14ac:dyDescent="0.4"/>
  <cols>
    <col min="1" max="1" width="8.84375" style="5"/>
    <col min="2" max="2" width="12.765625" style="5" bestFit="1" customWidth="1"/>
    <col min="3" max="3" width="8.84375" style="5"/>
    <col min="4" max="4" width="10.69140625" style="5" bestFit="1" customWidth="1"/>
    <col min="5" max="5" width="8.84375" style="5"/>
    <col min="6" max="6" width="10" style="5" bestFit="1" customWidth="1"/>
    <col min="7" max="7" width="10.765625" style="5" bestFit="1" customWidth="1"/>
    <col min="8" max="8" width="18.69140625" style="5" bestFit="1" customWidth="1"/>
    <col min="9" max="9" width="18.23046875" style="5" bestFit="1" customWidth="1"/>
    <col min="10" max="12" width="8.84375" style="5"/>
    <col min="13" max="13" width="9" style="5" bestFit="1" customWidth="1"/>
    <col min="14" max="14" width="11.84375" style="5" bestFit="1" customWidth="1"/>
    <col min="15" max="15" width="18.69140625" style="5" bestFit="1" customWidth="1"/>
    <col min="16" max="16" width="17.69140625" style="5" bestFit="1" customWidth="1"/>
    <col min="17" max="16384" width="8.84375" style="5"/>
  </cols>
  <sheetData>
    <row r="1" spans="1:17" ht="33.450000000000003" x14ac:dyDescent="0.4">
      <c r="G1" s="81" t="s">
        <v>21</v>
      </c>
      <c r="H1" s="82"/>
      <c r="I1" s="82"/>
      <c r="J1" s="82"/>
      <c r="K1" s="83"/>
    </row>
    <row r="4" spans="1:17" x14ac:dyDescent="0.4">
      <c r="A4" s="14" t="s">
        <v>1</v>
      </c>
      <c r="B4" s="15">
        <v>200000</v>
      </c>
      <c r="E4" s="84" t="s">
        <v>3</v>
      </c>
      <c r="F4" s="85"/>
      <c r="G4" s="85"/>
      <c r="H4" s="85"/>
      <c r="I4" s="85"/>
      <c r="J4" s="86"/>
      <c r="L4" s="84" t="s">
        <v>4</v>
      </c>
      <c r="M4" s="85"/>
      <c r="N4" s="85"/>
      <c r="O4" s="85"/>
      <c r="P4" s="85"/>
      <c r="Q4" s="86"/>
    </row>
    <row r="5" spans="1:17" x14ac:dyDescent="0.4">
      <c r="A5" s="7" t="s">
        <v>2</v>
      </c>
      <c r="B5" s="16">
        <v>100000</v>
      </c>
      <c r="E5" s="11" t="s">
        <v>9</v>
      </c>
      <c r="F5" s="13" t="s">
        <v>10</v>
      </c>
      <c r="G5" s="13" t="s">
        <v>0</v>
      </c>
      <c r="H5" s="13" t="s">
        <v>14</v>
      </c>
      <c r="I5" s="13" t="s">
        <v>15</v>
      </c>
      <c r="J5" s="12" t="s">
        <v>17</v>
      </c>
      <c r="L5" s="11" t="s">
        <v>9</v>
      </c>
      <c r="M5" s="13" t="s">
        <v>10</v>
      </c>
      <c r="N5" s="13" t="s">
        <v>0</v>
      </c>
      <c r="O5" s="13" t="s">
        <v>14</v>
      </c>
      <c r="P5" s="13" t="s">
        <v>16</v>
      </c>
      <c r="Q5" s="12" t="s">
        <v>17</v>
      </c>
    </row>
    <row r="6" spans="1:17" x14ac:dyDescent="0.4">
      <c r="D6" s="87" t="s">
        <v>19</v>
      </c>
      <c r="E6" s="4">
        <v>0.2</v>
      </c>
      <c r="F6" s="5">
        <f>8*E6/PI()^2</f>
        <v>0.16211389382774044</v>
      </c>
      <c r="G6" s="5">
        <f>(2*PI()*$B$4*$B$9)/F6</f>
        <v>13.214099964226772</v>
      </c>
      <c r="H6" s="24">
        <f xml:space="preserve"> 1/(SQRT(1 + G6^2 * ($B$5/$B$4 - $B$4/$B$5)^2))</f>
        <v>5.0387074781345409E-2</v>
      </c>
      <c r="I6" s="19"/>
      <c r="J6" s="29">
        <f>(ABS(H6-I6))*100</f>
        <v>5.0387074781345405</v>
      </c>
      <c r="L6" s="4">
        <v>0.2</v>
      </c>
      <c r="M6" s="5">
        <f>(L6*PI()^2)/8</f>
        <v>0.24674011002723395</v>
      </c>
      <c r="N6" s="62">
        <f>M6/(2*PI()*$B$4*$B$9)</f>
        <v>0.11518128752822321</v>
      </c>
      <c r="O6" s="20"/>
      <c r="P6" s="19"/>
      <c r="Q6" s="6"/>
    </row>
    <row r="7" spans="1:17" x14ac:dyDescent="0.4">
      <c r="A7" s="5" t="s">
        <v>11</v>
      </c>
      <c r="B7" s="5">
        <f>B5/B4</f>
        <v>0.5</v>
      </c>
      <c r="D7" s="88"/>
      <c r="E7" s="4">
        <v>1</v>
      </c>
      <c r="F7" s="5">
        <f t="shared" ref="F7:F13" si="0">8*E7/PI()^2</f>
        <v>0.8105694691387022</v>
      </c>
      <c r="G7" s="25">
        <f>(2*PI()*$B$4*$B$9)/F7</f>
        <v>2.6428199928453546</v>
      </c>
      <c r="H7" s="24">
        <f xml:space="preserve"> 1/(SQRT(1 + G7^2 * ($B$5/$B$4 - $B$4/$B$5)^2))</f>
        <v>0.24459369525450281</v>
      </c>
      <c r="I7" s="19"/>
      <c r="J7" s="6">
        <f t="shared" ref="J7:J13" si="1">(ABS(H7-I7))*100</f>
        <v>24.459369525450281</v>
      </c>
      <c r="L7" s="4">
        <v>1</v>
      </c>
      <c r="M7" s="5">
        <f t="shared" ref="M7:M12" si="2">(L7*PI()^2)/8</f>
        <v>1.2337005501361697</v>
      </c>
      <c r="N7" s="62">
        <f t="shared" ref="N7:N12" si="3">M7/(2*PI()*$B$4*$B$9)</f>
        <v>0.57590643764111604</v>
      </c>
      <c r="O7" s="20"/>
      <c r="P7" s="19"/>
      <c r="Q7" s="6"/>
    </row>
    <row r="8" spans="1:17" x14ac:dyDescent="0.4">
      <c r="D8" s="88"/>
      <c r="E8" s="4">
        <v>2</v>
      </c>
      <c r="F8" s="5">
        <f t="shared" si="0"/>
        <v>1.6211389382774044</v>
      </c>
      <c r="G8" s="25">
        <f t="shared" ref="G8:G13" si="4">(2*PI()*$B$4*$B$9)/F8</f>
        <v>1.3214099964226773</v>
      </c>
      <c r="H8" s="24">
        <f t="shared" ref="H8:H13" si="5" xml:space="preserve"> 1/(SQRT(1 + G8^2 * ($B$5/$B$4 - $B$4/$B$5)^2))</f>
        <v>0.45043309242419666</v>
      </c>
      <c r="I8" s="19"/>
      <c r="J8" s="6">
        <f t="shared" si="1"/>
        <v>45.043309242419667</v>
      </c>
      <c r="L8" s="4">
        <v>2</v>
      </c>
      <c r="M8" s="5">
        <f t="shared" si="2"/>
        <v>2.4674011002723395</v>
      </c>
      <c r="N8" s="62">
        <f t="shared" si="3"/>
        <v>1.1518128752822321</v>
      </c>
      <c r="O8" s="20"/>
      <c r="P8" s="19"/>
      <c r="Q8" s="6"/>
    </row>
    <row r="9" spans="1:17" x14ac:dyDescent="0.4">
      <c r="A9" s="14" t="s">
        <v>12</v>
      </c>
      <c r="B9" s="17">
        <v>1.7047E-6</v>
      </c>
      <c r="D9" s="88"/>
      <c r="E9" s="4">
        <v>5</v>
      </c>
      <c r="F9" s="5">
        <f t="shared" si="0"/>
        <v>4.052847345693511</v>
      </c>
      <c r="G9" s="25">
        <f t="shared" si="4"/>
        <v>0.52856399856907088</v>
      </c>
      <c r="H9" s="24">
        <f t="shared" si="5"/>
        <v>0.78359588728811602</v>
      </c>
      <c r="I9" s="19"/>
      <c r="J9" s="29">
        <f t="shared" si="1"/>
        <v>78.359588728811602</v>
      </c>
      <c r="L9" s="4">
        <v>5</v>
      </c>
      <c r="M9" s="5">
        <f t="shared" si="2"/>
        <v>6.1685027506808492</v>
      </c>
      <c r="N9" s="62">
        <f t="shared" si="3"/>
        <v>2.8795321882055802</v>
      </c>
      <c r="O9" s="20"/>
      <c r="P9" s="19"/>
      <c r="Q9" s="6"/>
    </row>
    <row r="10" spans="1:17" x14ac:dyDescent="0.4">
      <c r="A10" s="7" t="s">
        <v>13</v>
      </c>
      <c r="B10" s="18">
        <v>3.7147999999999999E-7</v>
      </c>
      <c r="D10" s="89"/>
      <c r="E10" s="7">
        <v>10</v>
      </c>
      <c r="F10" s="21">
        <f t="shared" si="0"/>
        <v>8.105694691387022</v>
      </c>
      <c r="G10" s="27">
        <f t="shared" si="4"/>
        <v>0.26428199928453544</v>
      </c>
      <c r="H10" s="28">
        <f t="shared" si="5"/>
        <v>0.9296189028705425</v>
      </c>
      <c r="I10" s="26"/>
      <c r="J10" s="8">
        <f t="shared" si="1"/>
        <v>92.961890287054246</v>
      </c>
      <c r="L10" s="4">
        <v>10</v>
      </c>
      <c r="M10" s="5">
        <f t="shared" si="2"/>
        <v>12.337005501361698</v>
      </c>
      <c r="N10" s="62">
        <f t="shared" si="3"/>
        <v>5.7590643764111604</v>
      </c>
      <c r="O10" s="20"/>
      <c r="P10" s="19"/>
      <c r="Q10" s="6"/>
    </row>
    <row r="11" spans="1:17" x14ac:dyDescent="0.4">
      <c r="D11" s="88" t="s">
        <v>20</v>
      </c>
      <c r="E11" s="4">
        <v>20</v>
      </c>
      <c r="F11" s="5">
        <f t="shared" si="0"/>
        <v>16.211389382774044</v>
      </c>
      <c r="G11" s="25">
        <f>(2*PI()*$B$4*$B$9)/F11</f>
        <v>0.13214099964226772</v>
      </c>
      <c r="H11" s="24">
        <f xml:space="preserve"> 1/(SQRT(1 + G11^2 * ($B$5/$B$4 - $B$4/$B$5)^2))</f>
        <v>0.98091660352836685</v>
      </c>
      <c r="I11" s="19"/>
      <c r="J11" s="29">
        <f t="shared" si="1"/>
        <v>98.091660352836684</v>
      </c>
      <c r="L11" s="4">
        <v>20</v>
      </c>
      <c r="M11" s="5">
        <f t="shared" si="2"/>
        <v>24.674011002723397</v>
      </c>
      <c r="N11" s="62">
        <f t="shared" si="3"/>
        <v>11.518128752822321</v>
      </c>
      <c r="O11" s="20"/>
      <c r="P11" s="19"/>
      <c r="Q11" s="6"/>
    </row>
    <row r="12" spans="1:17" x14ac:dyDescent="0.4">
      <c r="D12" s="88"/>
      <c r="E12" s="4">
        <v>30</v>
      </c>
      <c r="F12" s="5">
        <f t="shared" si="0"/>
        <v>24.317084074161066</v>
      </c>
      <c r="G12" s="25">
        <f t="shared" si="4"/>
        <v>8.8093999761511818E-2</v>
      </c>
      <c r="H12" s="24">
        <f t="shared" si="5"/>
        <v>0.99138207506854248</v>
      </c>
      <c r="I12" s="19"/>
      <c r="J12" s="6">
        <f t="shared" si="1"/>
        <v>99.138207506854243</v>
      </c>
      <c r="L12" s="7">
        <v>30</v>
      </c>
      <c r="M12" s="5">
        <f t="shared" si="2"/>
        <v>37.011016504085092</v>
      </c>
      <c r="N12" s="62">
        <f t="shared" si="3"/>
        <v>17.277193129233481</v>
      </c>
      <c r="O12" s="22"/>
      <c r="P12" s="26"/>
      <c r="Q12" s="8"/>
    </row>
    <row r="13" spans="1:17" x14ac:dyDescent="0.4">
      <c r="D13" s="89"/>
      <c r="E13" s="7">
        <v>50</v>
      </c>
      <c r="F13" s="21">
        <f t="shared" si="0"/>
        <v>40.52847345693511</v>
      </c>
      <c r="G13" s="21">
        <f t="shared" si="4"/>
        <v>5.2856399856907092E-2</v>
      </c>
      <c r="H13" s="28">
        <f t="shared" si="5"/>
        <v>0.99687171681997566</v>
      </c>
      <c r="I13" s="26"/>
      <c r="J13" s="8">
        <f t="shared" si="1"/>
        <v>99.687171681997569</v>
      </c>
      <c r="O13" s="20"/>
      <c r="P13" s="19"/>
    </row>
    <row r="14" spans="1:17" x14ac:dyDescent="0.4">
      <c r="H14" s="20"/>
      <c r="I14" s="19"/>
      <c r="L14" s="5" t="s">
        <v>9</v>
      </c>
      <c r="M14" s="5" t="s">
        <v>22</v>
      </c>
      <c r="N14" s="5" t="s">
        <v>23</v>
      </c>
      <c r="O14" s="20"/>
      <c r="P14" s="19"/>
    </row>
    <row r="15" spans="1:17" x14ac:dyDescent="0.4">
      <c r="L15" s="5">
        <v>20</v>
      </c>
      <c r="M15" s="5">
        <v>20000</v>
      </c>
      <c r="N15" s="25">
        <f xml:space="preserve"> 1/(SQRT(1 + $L$21^2 * (M15/$B$4 - $B$4/M15)^2))</f>
        <v>0.607421473487045</v>
      </c>
    </row>
    <row r="16" spans="1:17" x14ac:dyDescent="0.4">
      <c r="M16" s="5">
        <v>40000</v>
      </c>
      <c r="N16" s="35">
        <f t="shared" ref="N16:N34" si="6" xml:space="preserve"> 1/(SQRT(1 + $L$21^2 * (M16/$B$4 - $B$4/M16)^2))</f>
        <v>0.84453391710494252</v>
      </c>
    </row>
    <row r="17" spans="12:14" x14ac:dyDescent="0.4">
      <c r="M17" s="5">
        <v>60000</v>
      </c>
      <c r="N17" s="25">
        <f xml:space="preserve"> 1/(SQRT(1 + $L$21^2 * (M17/$B$4 - $B$4/M17)^2))</f>
        <v>0.92825139266528112</v>
      </c>
    </row>
    <row r="18" spans="12:14" x14ac:dyDescent="0.4">
      <c r="M18" s="5">
        <v>80000</v>
      </c>
      <c r="N18" s="35">
        <f t="shared" si="6"/>
        <v>0.96360924447766649</v>
      </c>
    </row>
    <row r="19" spans="12:14" x14ac:dyDescent="0.4">
      <c r="M19" s="5">
        <v>100000</v>
      </c>
      <c r="N19" s="25">
        <f t="shared" si="6"/>
        <v>0.98092810720566415</v>
      </c>
    </row>
    <row r="20" spans="12:14" x14ac:dyDescent="0.4">
      <c r="L20" s="5" t="s">
        <v>0</v>
      </c>
      <c r="M20" s="5">
        <v>120000</v>
      </c>
      <c r="N20" s="35">
        <f t="shared" si="6"/>
        <v>0.99021807973673515</v>
      </c>
    </row>
    <row r="21" spans="12:14" x14ac:dyDescent="0.4">
      <c r="L21" s="5">
        <v>0.1321</v>
      </c>
      <c r="M21" s="5">
        <v>140000</v>
      </c>
      <c r="N21" s="25">
        <f t="shared" si="6"/>
        <v>0.9954004482878307</v>
      </c>
    </row>
    <row r="22" spans="12:14" x14ac:dyDescent="0.4">
      <c r="M22" s="5">
        <v>160000</v>
      </c>
      <c r="N22" s="35">
        <f t="shared" si="6"/>
        <v>0.99823781490036012</v>
      </c>
    </row>
    <row r="23" spans="12:14" x14ac:dyDescent="0.4">
      <c r="M23" s="5">
        <v>180000</v>
      </c>
      <c r="N23" s="25">
        <f t="shared" si="6"/>
        <v>0.9996113626013059</v>
      </c>
    </row>
    <row r="24" spans="12:14" x14ac:dyDescent="0.4">
      <c r="M24" s="5">
        <v>200000</v>
      </c>
      <c r="N24" s="35">
        <f t="shared" si="6"/>
        <v>1</v>
      </c>
    </row>
    <row r="25" spans="12:14" x14ac:dyDescent="0.4">
      <c r="M25" s="5">
        <v>220000</v>
      </c>
      <c r="N25" s="25">
        <f t="shared" si="6"/>
        <v>0.9996821503337241</v>
      </c>
    </row>
    <row r="26" spans="12:14" x14ac:dyDescent="0.4">
      <c r="M26" s="5">
        <v>240000</v>
      </c>
      <c r="N26" s="35">
        <f xml:space="preserve"> 1/(SQRT(1 + $L$21^2 * (M26/$B$4 - $B$4/M26)^2))</f>
        <v>0.99882900472213709</v>
      </c>
    </row>
    <row r="27" spans="12:14" x14ac:dyDescent="0.4">
      <c r="M27" s="5">
        <v>260000</v>
      </c>
      <c r="N27" s="25">
        <f t="shared" si="6"/>
        <v>0.99755099625036059</v>
      </c>
    </row>
    <row r="28" spans="12:14" x14ac:dyDescent="0.4">
      <c r="M28" s="5">
        <v>280000</v>
      </c>
      <c r="N28" s="35">
        <f xml:space="preserve"> 1/(SQRT(1 + $L$21^2 * (M28/$B$4 - $B$4/M28)^2))</f>
        <v>0.99592244891486581</v>
      </c>
    </row>
    <row r="29" spans="12:14" x14ac:dyDescent="0.4">
      <c r="M29" s="5">
        <v>300000</v>
      </c>
      <c r="N29" s="25">
        <f t="shared" si="6"/>
        <v>0.99399534987464844</v>
      </c>
    </row>
    <row r="30" spans="12:14" x14ac:dyDescent="0.4">
      <c r="M30" s="5">
        <v>320000</v>
      </c>
      <c r="N30" s="35">
        <f t="shared" si="6"/>
        <v>0.99180739138167784</v>
      </c>
    </row>
    <row r="31" spans="12:14" x14ac:dyDescent="0.4">
      <c r="M31" s="5">
        <v>340000</v>
      </c>
      <c r="N31" s="25">
        <f t="shared" si="6"/>
        <v>0.98938684703574675</v>
      </c>
    </row>
    <row r="32" spans="12:14" x14ac:dyDescent="0.4">
      <c r="M32" s="5">
        <v>360000</v>
      </c>
      <c r="N32" s="35">
        <f t="shared" si="6"/>
        <v>0.98675562610255241</v>
      </c>
    </row>
    <row r="33" spans="13:14" x14ac:dyDescent="0.4">
      <c r="M33" s="5">
        <v>380000</v>
      </c>
      <c r="N33" s="25">
        <f t="shared" si="6"/>
        <v>0.98393124118886643</v>
      </c>
    </row>
    <row r="34" spans="13:14" x14ac:dyDescent="0.4">
      <c r="M34" s="5">
        <v>400000</v>
      </c>
      <c r="N34" s="35">
        <f t="shared" si="6"/>
        <v>0.98092810720566415</v>
      </c>
    </row>
  </sheetData>
  <mergeCells count="5">
    <mergeCell ref="G1:K1"/>
    <mergeCell ref="E4:J4"/>
    <mergeCell ref="L4:Q4"/>
    <mergeCell ref="D6:D10"/>
    <mergeCell ref="D11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4930-BBE1-4156-BBD3-0E6C69A80102}">
  <dimension ref="A1:Q29"/>
  <sheetViews>
    <sheetView topLeftCell="A37" zoomScaleNormal="100" workbookViewId="0">
      <selection activeCell="S11" sqref="S11"/>
    </sheetView>
  </sheetViews>
  <sheetFormatPr defaultColWidth="9.23046875" defaultRowHeight="14.6" x14ac:dyDescent="0.4"/>
  <cols>
    <col min="1" max="1" width="9.23046875" style="36"/>
    <col min="2" max="2" width="11.84375" style="36" bestFit="1" customWidth="1"/>
    <col min="3" max="4" width="9.23046875" style="36"/>
    <col min="5" max="5" width="9.4609375" style="36" customWidth="1"/>
    <col min="6" max="6" width="10.53515625" style="36" bestFit="1" customWidth="1"/>
    <col min="7" max="7" width="10.84375" style="36" customWidth="1"/>
    <col min="8" max="8" width="12.3046875" style="36" bestFit="1" customWidth="1"/>
    <col min="9" max="10" width="12.3046875" style="36" customWidth="1"/>
    <col min="11" max="12" width="9.23046875" style="36"/>
    <col min="13" max="13" width="9.23046875" style="36" customWidth="1"/>
    <col min="14" max="15" width="9.23046875" style="36"/>
    <col min="16" max="16" width="10.07421875" style="36" bestFit="1" customWidth="1"/>
    <col min="17" max="17" width="12.69140625" style="36" bestFit="1" customWidth="1"/>
    <col min="18" max="16384" width="9.23046875" style="36"/>
  </cols>
  <sheetData>
    <row r="1" spans="1:17" ht="30.9" x14ac:dyDescent="0.4">
      <c r="H1" s="93" t="s">
        <v>3</v>
      </c>
      <c r="I1" s="94"/>
      <c r="J1" s="95"/>
    </row>
    <row r="3" spans="1:17" x14ac:dyDescent="0.4">
      <c r="E3" s="90" t="s">
        <v>29</v>
      </c>
      <c r="F3" s="92"/>
      <c r="O3" s="90" t="s">
        <v>31</v>
      </c>
      <c r="P3" s="92"/>
    </row>
    <row r="4" spans="1:17" x14ac:dyDescent="0.4">
      <c r="D4" s="90" t="s">
        <v>28</v>
      </c>
      <c r="E4" s="91"/>
      <c r="F4" s="91"/>
      <c r="G4" s="92"/>
      <c r="N4" s="90" t="s">
        <v>30</v>
      </c>
      <c r="O4" s="91"/>
      <c r="P4" s="91"/>
      <c r="Q4" s="92"/>
    </row>
    <row r="5" spans="1:17" x14ac:dyDescent="0.4">
      <c r="A5" s="37" t="s">
        <v>26</v>
      </c>
      <c r="B5" s="38">
        <v>200</v>
      </c>
    </row>
    <row r="6" spans="1:17" x14ac:dyDescent="0.4">
      <c r="A6" s="41" t="s">
        <v>27</v>
      </c>
      <c r="B6" s="45">
        <f>2*PI()*200</f>
        <v>1256.6370614359173</v>
      </c>
      <c r="D6" s="46" t="s">
        <v>25</v>
      </c>
      <c r="E6" s="47" t="s">
        <v>23</v>
      </c>
      <c r="F6" s="47" t="s">
        <v>24</v>
      </c>
      <c r="G6" s="48" t="s">
        <v>32</v>
      </c>
      <c r="H6" s="44" t="s">
        <v>33</v>
      </c>
      <c r="I6" s="44" t="s">
        <v>34</v>
      </c>
      <c r="J6" s="44"/>
      <c r="N6" s="46" t="s">
        <v>25</v>
      </c>
      <c r="O6" s="47" t="s">
        <v>23</v>
      </c>
      <c r="P6" s="47" t="s">
        <v>24</v>
      </c>
      <c r="Q6" s="48" t="s">
        <v>32</v>
      </c>
    </row>
    <row r="7" spans="1:17" x14ac:dyDescent="0.4">
      <c r="B7" s="56"/>
      <c r="D7" s="50">
        <v>5</v>
      </c>
      <c r="E7" s="57">
        <f>1/(SQRT(1+$B$13^2*(D7/$B$5 - $B$5/D7)^2))</f>
        <v>1.8930982772880835E-3</v>
      </c>
      <c r="F7" s="51">
        <v>3.7400000000000003E-2</v>
      </c>
      <c r="G7" s="52">
        <f>ABS((E7-F7)*100/F7)</f>
        <v>94.938239900299237</v>
      </c>
      <c r="H7" s="36">
        <f>(D7/$B$5-$B$5/D7)^2</f>
        <v>1598.0006250000001</v>
      </c>
      <c r="N7" s="53">
        <v>5</v>
      </c>
      <c r="O7" s="59">
        <f t="shared" ref="O7:O29" si="0">1/(SQRT(1+$L$13^2*(D7/$B$5 - $B$5/D7)^2))</f>
        <v>0.18606215853668581</v>
      </c>
      <c r="P7" s="54">
        <v>0.3327</v>
      </c>
      <c r="Q7" s="55">
        <f>ABS((O7-P7)*100/P7)</f>
        <v>44.075095119721723</v>
      </c>
    </row>
    <row r="8" spans="1:17" x14ac:dyDescent="0.4">
      <c r="B8" s="56"/>
      <c r="D8" s="39">
        <v>10</v>
      </c>
      <c r="E8" s="56">
        <f t="shared" ref="E8:E29" si="1">1/(SQRT(1+$B$13^2*(D8/$B$5 - $B$5/D8)^2))</f>
        <v>3.7932929714131619E-3</v>
      </c>
      <c r="F8" s="36">
        <v>5.3800000000000001E-2</v>
      </c>
      <c r="G8" s="52">
        <f>ABS((E8-F8)*100/F8)</f>
        <v>92.949269569864001</v>
      </c>
      <c r="H8" s="36">
        <f t="shared" ref="H8:H29" si="2">(D8/$B$5-$B$5/D8)^2</f>
        <v>398.0025</v>
      </c>
      <c r="N8" s="39">
        <v>10</v>
      </c>
      <c r="O8" s="56">
        <f t="shared" si="0"/>
        <v>0.35476818324838505</v>
      </c>
      <c r="P8" s="36">
        <v>0.5948</v>
      </c>
      <c r="Q8" s="55">
        <f t="shared" ref="Q8:Q29" si="3">ABS((O8-P8)*100/P8)</f>
        <v>40.355046528516304</v>
      </c>
    </row>
    <row r="9" spans="1:17" x14ac:dyDescent="0.4">
      <c r="D9" s="50">
        <v>20</v>
      </c>
      <c r="E9" s="57">
        <f>1/(SQRT(1+$B$13^2*(D9/$B$5 - $B$5/D9)^2))</f>
        <v>7.6438917522420203E-3</v>
      </c>
      <c r="F9" s="49">
        <v>5.9400000000000001E-2</v>
      </c>
      <c r="G9" s="52">
        <f t="shared" ref="G9:G29" si="4">ABS((E9-F9)*100/F9)</f>
        <v>87.131495366595928</v>
      </c>
      <c r="H9" s="36">
        <f t="shared" si="2"/>
        <v>98.01</v>
      </c>
      <c r="N9" s="53">
        <v>20</v>
      </c>
      <c r="O9" s="59">
        <f t="shared" si="0"/>
        <v>0.607421473487045</v>
      </c>
      <c r="P9" s="54">
        <v>1</v>
      </c>
      <c r="Q9" s="55">
        <f t="shared" si="3"/>
        <v>39.257852651295501</v>
      </c>
    </row>
    <row r="10" spans="1:17" x14ac:dyDescent="0.4">
      <c r="A10" s="37" t="s">
        <v>9</v>
      </c>
      <c r="B10" s="38">
        <v>0.2</v>
      </c>
      <c r="D10" s="39">
        <v>40</v>
      </c>
      <c r="E10" s="56">
        <f t="shared" si="1"/>
        <v>1.5764028259999945E-2</v>
      </c>
      <c r="F10" s="36">
        <v>0.1996</v>
      </c>
      <c r="G10" s="52">
        <f t="shared" si="4"/>
        <v>92.102190250501025</v>
      </c>
      <c r="H10" s="36">
        <f t="shared" si="2"/>
        <v>23.04</v>
      </c>
      <c r="K10" s="37" t="s">
        <v>9</v>
      </c>
      <c r="L10" s="38">
        <v>20</v>
      </c>
      <c r="N10" s="39">
        <v>40</v>
      </c>
      <c r="O10" s="56">
        <f t="shared" si="0"/>
        <v>0.84453391710494252</v>
      </c>
      <c r="P10" s="36">
        <v>1</v>
      </c>
      <c r="Q10" s="55">
        <f t="shared" si="3"/>
        <v>15.546608289505748</v>
      </c>
    </row>
    <row r="11" spans="1:17" x14ac:dyDescent="0.4">
      <c r="A11" s="39" t="s">
        <v>10</v>
      </c>
      <c r="B11" s="40">
        <f>(8*B10)/PI()^2</f>
        <v>0.16211389382774044</v>
      </c>
      <c r="D11" s="50">
        <v>60</v>
      </c>
      <c r="E11" s="57">
        <f t="shared" si="1"/>
        <v>2.4940614994447007E-2</v>
      </c>
      <c r="F11" s="51">
        <v>0.1193</v>
      </c>
      <c r="G11" s="52">
        <f t="shared" si="4"/>
        <v>79.094203692835691</v>
      </c>
      <c r="H11" s="36">
        <f t="shared" si="2"/>
        <v>9.2011111111111124</v>
      </c>
      <c r="K11" s="39" t="s">
        <v>10</v>
      </c>
      <c r="L11" s="40">
        <f>(8*L10)/PI()^2</f>
        <v>16.211389382774044</v>
      </c>
      <c r="N11" s="53">
        <v>60</v>
      </c>
      <c r="O11" s="59">
        <f t="shared" si="0"/>
        <v>0.92825139266528112</v>
      </c>
      <c r="P11" s="54">
        <v>1</v>
      </c>
      <c r="Q11" s="55">
        <f t="shared" si="3"/>
        <v>7.1748607334718884</v>
      </c>
    </row>
    <row r="12" spans="1:17" x14ac:dyDescent="0.4">
      <c r="A12" s="39"/>
      <c r="B12" s="40"/>
      <c r="D12" s="39">
        <v>80</v>
      </c>
      <c r="E12" s="56">
        <f t="shared" si="1"/>
        <v>3.60131661503044E-2</v>
      </c>
      <c r="F12" s="36">
        <v>7.5700000000000003E-2</v>
      </c>
      <c r="G12" s="52">
        <f t="shared" si="4"/>
        <v>52.426464794842275</v>
      </c>
      <c r="H12" s="36">
        <f t="shared" si="2"/>
        <v>4.41</v>
      </c>
      <c r="K12" s="39"/>
      <c r="L12" s="40"/>
      <c r="N12" s="39">
        <v>80</v>
      </c>
      <c r="O12" s="56">
        <f t="shared" si="0"/>
        <v>0.96360924447766649</v>
      </c>
      <c r="P12" s="36">
        <v>1</v>
      </c>
      <c r="Q12" s="55">
        <f t="shared" si="3"/>
        <v>3.6390755522333507</v>
      </c>
    </row>
    <row r="13" spans="1:17" x14ac:dyDescent="0.4">
      <c r="A13" s="41" t="s">
        <v>0</v>
      </c>
      <c r="B13" s="43">
        <v>13.2141</v>
      </c>
      <c r="D13" s="50">
        <v>100</v>
      </c>
      <c r="E13" s="57">
        <f t="shared" si="1"/>
        <v>5.0387074645283768E-2</v>
      </c>
      <c r="F13" s="51">
        <v>5.9400000000000001E-2</v>
      </c>
      <c r="G13" s="52">
        <f t="shared" si="4"/>
        <v>15.173275007939786</v>
      </c>
      <c r="H13" s="36">
        <f t="shared" si="2"/>
        <v>2.25</v>
      </c>
      <c r="K13" s="41" t="s">
        <v>0</v>
      </c>
      <c r="L13" s="43">
        <v>0.1321</v>
      </c>
      <c r="N13" s="53">
        <v>100</v>
      </c>
      <c r="O13" s="59">
        <f t="shared" si="0"/>
        <v>0.98092810720566415</v>
      </c>
      <c r="P13" s="54">
        <v>1</v>
      </c>
      <c r="Q13" s="55">
        <f t="shared" si="3"/>
        <v>1.9071892794335854</v>
      </c>
    </row>
    <row r="14" spans="1:17" x14ac:dyDescent="0.4">
      <c r="D14" s="39">
        <v>120</v>
      </c>
      <c r="E14" s="56">
        <f t="shared" si="1"/>
        <v>7.0769059675396345E-2</v>
      </c>
      <c r="F14" s="36">
        <v>7.6700000000000004E-2</v>
      </c>
      <c r="G14" s="52">
        <f t="shared" si="4"/>
        <v>7.7326470985706122</v>
      </c>
      <c r="H14" s="36">
        <f t="shared" si="2"/>
        <v>1.1377777777777782</v>
      </c>
      <c r="N14" s="39">
        <v>120</v>
      </c>
      <c r="O14" s="56">
        <f t="shared" si="0"/>
        <v>0.99021807973673515</v>
      </c>
      <c r="P14" s="36">
        <v>1</v>
      </c>
      <c r="Q14" s="55">
        <f t="shared" si="3"/>
        <v>0.97819202632648539</v>
      </c>
    </row>
    <row r="15" spans="1:17" x14ac:dyDescent="0.4">
      <c r="D15" s="50">
        <v>140</v>
      </c>
      <c r="E15" s="57">
        <f t="shared" si="1"/>
        <v>0.10331420181067388</v>
      </c>
      <c r="F15" s="51">
        <v>0.108</v>
      </c>
      <c r="G15" s="52">
        <f t="shared" si="4"/>
        <v>4.3387020271538104</v>
      </c>
      <c r="H15" s="36">
        <f t="shared" si="2"/>
        <v>0.53081632653061239</v>
      </c>
      <c r="N15" s="53">
        <v>140</v>
      </c>
      <c r="O15" s="59">
        <f t="shared" si="0"/>
        <v>0.9954004482878307</v>
      </c>
      <c r="P15" s="54">
        <v>1</v>
      </c>
      <c r="Q15" s="55">
        <f t="shared" si="3"/>
        <v>0.4599551712169303</v>
      </c>
    </row>
    <row r="16" spans="1:17" x14ac:dyDescent="0.4">
      <c r="D16" s="39">
        <v>160</v>
      </c>
      <c r="E16" s="56">
        <f t="shared" si="1"/>
        <v>0.16584176926014774</v>
      </c>
      <c r="F16" s="36">
        <v>0.17019999999999999</v>
      </c>
      <c r="G16" s="52">
        <f t="shared" si="4"/>
        <v>2.5606526086088448</v>
      </c>
      <c r="H16" s="36">
        <f t="shared" si="2"/>
        <v>0.20249999999999996</v>
      </c>
      <c r="N16" s="39">
        <v>160</v>
      </c>
      <c r="O16" s="56">
        <f t="shared" si="0"/>
        <v>0.99823781490036012</v>
      </c>
      <c r="P16" s="36">
        <v>1</v>
      </c>
      <c r="Q16" s="55">
        <f t="shared" si="3"/>
        <v>0.17621850996398791</v>
      </c>
    </row>
    <row r="17" spans="4:17" x14ac:dyDescent="0.4">
      <c r="D17" s="50">
        <v>180</v>
      </c>
      <c r="E17" s="57">
        <f t="shared" si="1"/>
        <v>0.33744311038609276</v>
      </c>
      <c r="F17" s="51">
        <v>0.34320000000000001</v>
      </c>
      <c r="G17" s="52">
        <f t="shared" si="4"/>
        <v>1.6774153886676124</v>
      </c>
      <c r="H17" s="36">
        <f t="shared" si="2"/>
        <v>4.4567901234567914E-2</v>
      </c>
      <c r="N17" s="53">
        <v>180</v>
      </c>
      <c r="O17" s="59">
        <f t="shared" si="0"/>
        <v>0.9996113626013059</v>
      </c>
      <c r="P17" s="54">
        <v>1</v>
      </c>
      <c r="Q17" s="55">
        <f t="shared" si="3"/>
        <v>3.8863739869410274E-2</v>
      </c>
    </row>
    <row r="18" spans="4:17" x14ac:dyDescent="0.4">
      <c r="D18" s="39">
        <v>200</v>
      </c>
      <c r="E18" s="56">
        <f t="shared" si="1"/>
        <v>1</v>
      </c>
      <c r="F18" s="36">
        <v>0.99829999999999997</v>
      </c>
      <c r="G18" s="52">
        <f t="shared" si="4"/>
        <v>0.17028949213663577</v>
      </c>
      <c r="H18" s="36">
        <f t="shared" si="2"/>
        <v>0</v>
      </c>
      <c r="N18" s="39">
        <v>200</v>
      </c>
      <c r="O18" s="56">
        <f t="shared" si="0"/>
        <v>1</v>
      </c>
      <c r="P18" s="36">
        <v>1</v>
      </c>
      <c r="Q18" s="55">
        <f t="shared" si="3"/>
        <v>0</v>
      </c>
    </row>
    <row r="19" spans="4:17" x14ac:dyDescent="0.4">
      <c r="D19" s="50">
        <v>220</v>
      </c>
      <c r="E19" s="57">
        <f t="shared" si="1"/>
        <v>0.36850541712574764</v>
      </c>
      <c r="F19" s="51">
        <v>0.3624</v>
      </c>
      <c r="G19" s="52">
        <f t="shared" si="4"/>
        <v>1.6847177499303632</v>
      </c>
      <c r="H19" s="36">
        <f t="shared" si="2"/>
        <v>3.644628099173558E-2</v>
      </c>
      <c r="N19" s="53">
        <v>220</v>
      </c>
      <c r="O19" s="59">
        <f t="shared" si="0"/>
        <v>0.9996821503337241</v>
      </c>
      <c r="P19" s="54">
        <v>0.99539999999999995</v>
      </c>
      <c r="Q19" s="55">
        <f t="shared" si="3"/>
        <v>0.43019392542938961</v>
      </c>
    </row>
    <row r="20" spans="4:17" x14ac:dyDescent="0.4">
      <c r="D20" s="39">
        <v>240</v>
      </c>
      <c r="E20" s="56">
        <f t="shared" si="1"/>
        <v>0.20213088840177007</v>
      </c>
      <c r="F20" s="36">
        <v>0.19889999999999999</v>
      </c>
      <c r="G20" s="52">
        <f t="shared" si="4"/>
        <v>1.6243782814329195</v>
      </c>
      <c r="H20" s="36">
        <f t="shared" si="2"/>
        <v>0.13444444444444439</v>
      </c>
      <c r="N20" s="39">
        <v>240</v>
      </c>
      <c r="O20" s="56">
        <f t="shared" si="0"/>
        <v>0.99882900472213709</v>
      </c>
      <c r="P20" s="36">
        <v>0.98780000000000001</v>
      </c>
      <c r="Q20" s="55">
        <f t="shared" si="3"/>
        <v>1.1165220411153149</v>
      </c>
    </row>
    <row r="21" spans="4:17" x14ac:dyDescent="0.4">
      <c r="D21" s="50">
        <v>260</v>
      </c>
      <c r="E21" s="57">
        <f t="shared" si="1"/>
        <v>0.14115185302122002</v>
      </c>
      <c r="F21" s="51">
        <v>0.13869999999999999</v>
      </c>
      <c r="G21" s="52">
        <f t="shared" si="4"/>
        <v>1.7677382993655586</v>
      </c>
      <c r="H21" s="36">
        <f t="shared" si="2"/>
        <v>0.28171597633136097</v>
      </c>
      <c r="N21" s="53">
        <v>260</v>
      </c>
      <c r="O21" s="59">
        <f t="shared" si="0"/>
        <v>0.99755099625036059</v>
      </c>
      <c r="P21" s="54">
        <v>0.97889999999999999</v>
      </c>
      <c r="Q21" s="55">
        <f t="shared" si="3"/>
        <v>1.9053014863990803</v>
      </c>
    </row>
    <row r="22" spans="4:17" x14ac:dyDescent="0.4">
      <c r="D22" s="39">
        <v>280</v>
      </c>
      <c r="E22" s="56">
        <f t="shared" si="1"/>
        <v>0.10969589882840201</v>
      </c>
      <c r="F22" s="36">
        <v>0.1075</v>
      </c>
      <c r="G22" s="52">
        <f t="shared" si="4"/>
        <v>2.0426965845600145</v>
      </c>
      <c r="H22" s="36">
        <f t="shared" si="2"/>
        <v>0.47020408163265293</v>
      </c>
      <c r="N22" s="39">
        <v>280</v>
      </c>
      <c r="O22" s="56">
        <f t="shared" si="0"/>
        <v>0.99592244891486581</v>
      </c>
      <c r="P22" s="36">
        <v>0.96970000000000001</v>
      </c>
      <c r="Q22" s="55">
        <f t="shared" si="3"/>
        <v>2.7041815937780553</v>
      </c>
    </row>
    <row r="23" spans="4:17" x14ac:dyDescent="0.4">
      <c r="D23" s="50">
        <v>300</v>
      </c>
      <c r="E23" s="57">
        <f t="shared" si="1"/>
        <v>9.0439931188210823E-2</v>
      </c>
      <c r="F23" s="51">
        <v>8.8499999999999995E-2</v>
      </c>
      <c r="G23" s="52">
        <f t="shared" si="4"/>
        <v>2.1920126420461332</v>
      </c>
      <c r="H23" s="36">
        <f t="shared" si="2"/>
        <v>0.69444444444444453</v>
      </c>
      <c r="N23" s="53">
        <v>300</v>
      </c>
      <c r="O23" s="59">
        <f t="shared" si="0"/>
        <v>0.99399534987464844</v>
      </c>
      <c r="P23" s="54">
        <v>0.96050000000000002</v>
      </c>
      <c r="Q23" s="55">
        <f t="shared" si="3"/>
        <v>3.4872826522278415</v>
      </c>
    </row>
    <row r="24" spans="4:17" x14ac:dyDescent="0.4">
      <c r="D24" s="39">
        <v>320</v>
      </c>
      <c r="E24" s="56">
        <f t="shared" si="1"/>
        <v>7.7384420157782352E-2</v>
      </c>
      <c r="F24" s="36">
        <v>7.5700000000000003E-2</v>
      </c>
      <c r="G24" s="52">
        <f t="shared" si="4"/>
        <v>2.2251257038075938</v>
      </c>
      <c r="H24" s="36">
        <f t="shared" si="2"/>
        <v>0.95062500000000016</v>
      </c>
      <c r="N24" s="39">
        <v>320</v>
      </c>
      <c r="O24" s="56">
        <f t="shared" si="0"/>
        <v>0.99180739138167784</v>
      </c>
      <c r="P24" s="36">
        <v>0.95140000000000002</v>
      </c>
      <c r="Q24" s="55">
        <f t="shared" si="3"/>
        <v>4.2471506602562341</v>
      </c>
    </row>
    <row r="25" spans="4:17" x14ac:dyDescent="0.4">
      <c r="D25" s="50">
        <v>340</v>
      </c>
      <c r="E25" s="57">
        <f t="shared" si="1"/>
        <v>6.7911875362824226E-2</v>
      </c>
      <c r="F25" s="51">
        <v>6.6299999999999998E-2</v>
      </c>
      <c r="G25" s="52">
        <f t="shared" si="4"/>
        <v>2.4311845593125607</v>
      </c>
      <c r="H25" s="36">
        <f t="shared" si="2"/>
        <v>1.2360207612456748</v>
      </c>
      <c r="N25" s="53">
        <v>340</v>
      </c>
      <c r="O25" s="59">
        <f t="shared" si="0"/>
        <v>0.98938684703574675</v>
      </c>
      <c r="P25" s="54">
        <v>0.94259999999999999</v>
      </c>
      <c r="Q25" s="55">
        <f t="shared" si="3"/>
        <v>4.9635950600198138</v>
      </c>
    </row>
    <row r="26" spans="4:17" x14ac:dyDescent="0.4">
      <c r="D26" s="39">
        <v>360</v>
      </c>
      <c r="E26" s="56">
        <f t="shared" si="1"/>
        <v>6.0699533814706171E-2</v>
      </c>
      <c r="F26" s="36">
        <v>5.9200000000000003E-2</v>
      </c>
      <c r="G26" s="52">
        <f t="shared" si="4"/>
        <v>2.5329963086252834</v>
      </c>
      <c r="H26" s="36">
        <f t="shared" si="2"/>
        <v>1.548641975308642</v>
      </c>
      <c r="N26" s="39">
        <v>360</v>
      </c>
      <c r="O26" s="56">
        <f t="shared" si="0"/>
        <v>0.98675562610255241</v>
      </c>
      <c r="P26" s="36">
        <v>0.93330000000000002</v>
      </c>
      <c r="Q26" s="55">
        <f t="shared" si="3"/>
        <v>5.7275930678830376</v>
      </c>
    </row>
    <row r="27" spans="4:17" x14ac:dyDescent="0.4">
      <c r="D27" s="50">
        <v>380</v>
      </c>
      <c r="E27" s="57">
        <f t="shared" si="1"/>
        <v>5.5006938259178802E-2</v>
      </c>
      <c r="F27" s="51">
        <v>5.3600000000000002E-2</v>
      </c>
      <c r="G27" s="52">
        <f t="shared" si="4"/>
        <v>2.624884811900746</v>
      </c>
      <c r="H27" s="36">
        <f t="shared" si="2"/>
        <v>1.8870083102493076</v>
      </c>
      <c r="N27" s="53">
        <v>380</v>
      </c>
      <c r="O27" s="59">
        <f t="shared" si="0"/>
        <v>0.98393124118886643</v>
      </c>
      <c r="P27" s="54">
        <v>0.92430000000000001</v>
      </c>
      <c r="Q27" s="55">
        <f t="shared" si="3"/>
        <v>6.4515028874679672</v>
      </c>
    </row>
    <row r="28" spans="4:17" x14ac:dyDescent="0.4">
      <c r="D28" s="41">
        <v>400</v>
      </c>
      <c r="E28" s="58">
        <f t="shared" si="1"/>
        <v>5.0387074645283768E-2</v>
      </c>
      <c r="F28" s="42">
        <v>4.9099999999999998E-2</v>
      </c>
      <c r="G28" s="60">
        <f t="shared" si="4"/>
        <v>2.6213332897836459</v>
      </c>
      <c r="H28" s="36">
        <f t="shared" si="2"/>
        <v>2.25</v>
      </c>
      <c r="N28" s="41">
        <v>400</v>
      </c>
      <c r="O28" s="58">
        <f t="shared" si="0"/>
        <v>0.98092810720566415</v>
      </c>
      <c r="P28" s="42">
        <v>0.91569999999999996</v>
      </c>
      <c r="Q28" s="61">
        <f t="shared" si="3"/>
        <v>7.1233053626366925</v>
      </c>
    </row>
    <row r="29" spans="4:17" x14ac:dyDescent="0.4">
      <c r="D29" s="36">
        <v>600</v>
      </c>
      <c r="E29" s="36">
        <f t="shared" si="1"/>
        <v>2.8367356618002229E-2</v>
      </c>
      <c r="F29" s="36">
        <v>2.76E-2</v>
      </c>
      <c r="G29" s="36">
        <f t="shared" si="4"/>
        <v>2.7802776014573536</v>
      </c>
      <c r="H29" s="36">
        <f t="shared" si="2"/>
        <v>7.1111111111111107</v>
      </c>
      <c r="N29" s="36">
        <v>600</v>
      </c>
      <c r="O29" s="36">
        <f t="shared" si="0"/>
        <v>0.94318982992056533</v>
      </c>
      <c r="P29" s="36">
        <v>0.84419999999999995</v>
      </c>
      <c r="Q29" s="36">
        <f t="shared" si="3"/>
        <v>11.725874191016985</v>
      </c>
    </row>
  </sheetData>
  <mergeCells count="5">
    <mergeCell ref="D4:G4"/>
    <mergeCell ref="N4:Q4"/>
    <mergeCell ref="E3:F3"/>
    <mergeCell ref="O3:P3"/>
    <mergeCell ref="H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4345-00FF-453A-AF47-EFAE9C932804}">
  <dimension ref="A1:Q29"/>
  <sheetViews>
    <sheetView zoomScaleNormal="100" workbookViewId="0">
      <selection activeCell="D23" sqref="D23"/>
    </sheetView>
  </sheetViews>
  <sheetFormatPr defaultColWidth="9.23046875" defaultRowHeight="14.6" x14ac:dyDescent="0.4"/>
  <cols>
    <col min="1" max="1" width="11.69140625" style="36" bestFit="1" customWidth="1"/>
    <col min="2" max="2" width="12.53515625" style="36" bestFit="1" customWidth="1"/>
    <col min="3" max="4" width="9.23046875" style="36"/>
    <col min="5" max="5" width="9.4609375" style="36" customWidth="1"/>
    <col min="6" max="6" width="10.53515625" style="36" bestFit="1" customWidth="1"/>
    <col min="7" max="7" width="11.69140625" style="36" customWidth="1"/>
    <col min="8" max="8" width="12.3046875" style="36" bestFit="1" customWidth="1"/>
    <col min="9" max="10" width="12.3046875" style="36" customWidth="1"/>
    <col min="11" max="15" width="9.23046875" style="36"/>
    <col min="16" max="16" width="10.07421875" style="36" bestFit="1" customWidth="1"/>
    <col min="17" max="17" width="12.69140625" style="36" bestFit="1" customWidth="1"/>
    <col min="18" max="16384" width="9.23046875" style="36"/>
  </cols>
  <sheetData>
    <row r="1" spans="1:17" ht="30.9" x14ac:dyDescent="0.4">
      <c r="H1" s="93" t="s">
        <v>4</v>
      </c>
      <c r="I1" s="94"/>
      <c r="J1" s="95"/>
    </row>
    <row r="3" spans="1:17" x14ac:dyDescent="0.4">
      <c r="E3" s="90" t="s">
        <v>31</v>
      </c>
      <c r="F3" s="92"/>
      <c r="O3" s="90" t="s">
        <v>29</v>
      </c>
      <c r="P3" s="92"/>
    </row>
    <row r="4" spans="1:17" x14ac:dyDescent="0.4">
      <c r="D4" s="90" t="s">
        <v>37</v>
      </c>
      <c r="E4" s="91"/>
      <c r="F4" s="91"/>
      <c r="G4" s="92"/>
      <c r="N4" s="90" t="s">
        <v>38</v>
      </c>
      <c r="O4" s="91"/>
      <c r="P4" s="91"/>
      <c r="Q4" s="92"/>
    </row>
    <row r="5" spans="1:17" x14ac:dyDescent="0.4">
      <c r="A5" s="37" t="s">
        <v>26</v>
      </c>
      <c r="B5" s="38">
        <v>200</v>
      </c>
    </row>
    <row r="6" spans="1:17" x14ac:dyDescent="0.4">
      <c r="A6" s="41" t="s">
        <v>35</v>
      </c>
      <c r="B6" s="45">
        <f>2*PI()*B5</f>
        <v>1256.6370614359173</v>
      </c>
      <c r="D6" s="46" t="s">
        <v>25</v>
      </c>
      <c r="E6" s="47" t="s">
        <v>23</v>
      </c>
      <c r="F6" s="47" t="s">
        <v>24</v>
      </c>
      <c r="G6" s="48" t="s">
        <v>32</v>
      </c>
      <c r="H6" s="44" t="s">
        <v>36</v>
      </c>
      <c r="I6" s="44"/>
      <c r="J6" s="44"/>
      <c r="N6" s="46" t="s">
        <v>25</v>
      </c>
      <c r="O6" s="47" t="s">
        <v>23</v>
      </c>
      <c r="P6" s="47" t="s">
        <v>24</v>
      </c>
      <c r="Q6" s="48" t="s">
        <v>32</v>
      </c>
    </row>
    <row r="7" spans="1:17" x14ac:dyDescent="0.4">
      <c r="A7" s="36" t="s">
        <v>12</v>
      </c>
      <c r="B7" s="38">
        <v>1.7047E-6</v>
      </c>
      <c r="D7" s="50">
        <v>5</v>
      </c>
      <c r="E7" s="57">
        <f>(8/PI()^2)/SQRT((1-(D7/$B$5)^2)^2 + (D7/($B$5*$B$13))^2)</f>
        <v>0.79259862585053587</v>
      </c>
      <c r="F7" s="51">
        <v>0.87139999999999995</v>
      </c>
      <c r="G7" s="65">
        <f>ABS((E7-F7)*100/F7)</f>
        <v>9.0430771344347143</v>
      </c>
      <c r="H7" s="36">
        <f>(1-(D7/$B$5)^2)^2</f>
        <v>0.99875039062500004</v>
      </c>
      <c r="N7" s="53">
        <v>5</v>
      </c>
      <c r="O7" s="59">
        <f>(8/PI()^2)/SQRT((1-(N7/$B$5)^2)^2 + (N7/($B$5*$L$13))^2)</f>
        <v>0.81107447899614427</v>
      </c>
      <c r="P7" s="54">
        <v>0.99550000000000005</v>
      </c>
      <c r="Q7" s="55">
        <f>ABS((O7-P7)*100/P7)</f>
        <v>18.525918734691693</v>
      </c>
    </row>
    <row r="8" spans="1:17" x14ac:dyDescent="0.4">
      <c r="A8" s="42" t="s">
        <v>13</v>
      </c>
      <c r="B8" s="43">
        <v>3.7147999999999999E-7</v>
      </c>
      <c r="D8" s="39">
        <v>10</v>
      </c>
      <c r="E8" s="57">
        <f t="shared" ref="E8:E29" si="0">(8/PI()^2)/SQRT((1-(D8/$B$5)^2)^2 + (D8/($B$5*$B$13))^2)</f>
        <v>0.74510200051870501</v>
      </c>
      <c r="F8" s="36">
        <v>0.78039999999999998</v>
      </c>
      <c r="G8" s="65">
        <f>ABS((E8-F8)*100/F8)</f>
        <v>4.5230650283566085</v>
      </c>
      <c r="H8" s="36">
        <f>(1-(D8/$B$5)^2)^2</f>
        <v>0.99500625000000009</v>
      </c>
      <c r="N8" s="39">
        <v>10</v>
      </c>
      <c r="O8" s="59">
        <f t="shared" ref="O8:O29" si="1">(8/PI()^2)/SQRT((1-(N8/$B$5)^2)^2 + (N8/($B$5*$L$13))^2)</f>
        <v>0.81259327687076066</v>
      </c>
      <c r="P8" s="67">
        <v>0.98919999999999997</v>
      </c>
      <c r="Q8" s="55">
        <f t="shared" ref="Q8:Q29" si="2">ABS((O8-P8)*100/P8)</f>
        <v>17.85349000497769</v>
      </c>
    </row>
    <row r="9" spans="1:17" x14ac:dyDescent="0.4">
      <c r="D9" s="50">
        <v>20</v>
      </c>
      <c r="E9" s="57">
        <f>(8/PI()^2)/SQRT((1-(D9/$B$5)^2)^2 + (D9/($B$5*$B$13))^2)</f>
        <v>0.61557725359177184</v>
      </c>
      <c r="F9" s="49">
        <v>0.58860000000000001</v>
      </c>
      <c r="G9" s="65">
        <f t="shared" ref="G9:G29" si="3">ABS((E9-F9)*100/F9)</f>
        <v>4.5832914698898799</v>
      </c>
      <c r="H9" s="36">
        <f t="shared" ref="H9:H29" si="4">(1-(D9/$B$5)^2)^2</f>
        <v>0.98009999999999997</v>
      </c>
      <c r="N9" s="53">
        <v>20</v>
      </c>
      <c r="O9" s="59">
        <f t="shared" si="1"/>
        <v>0.81872555728464202</v>
      </c>
      <c r="P9" s="68">
        <v>0.98880000000000001</v>
      </c>
      <c r="Q9" s="55">
        <f t="shared" si="2"/>
        <v>17.20008522606776</v>
      </c>
    </row>
    <row r="10" spans="1:17" x14ac:dyDescent="0.4">
      <c r="A10" s="37" t="s">
        <v>9</v>
      </c>
      <c r="B10" s="38">
        <v>0.2</v>
      </c>
      <c r="D10" s="39">
        <v>40</v>
      </c>
      <c r="E10" s="57">
        <f t="shared" si="0"/>
        <v>0.40853213255497162</v>
      </c>
      <c r="F10" s="36">
        <v>0.40429999999999999</v>
      </c>
      <c r="G10" s="65">
        <f t="shared" si="3"/>
        <v>1.046780251044181</v>
      </c>
      <c r="H10" s="36">
        <f t="shared" si="4"/>
        <v>0.92159999999999997</v>
      </c>
      <c r="K10" s="37" t="s">
        <v>9</v>
      </c>
      <c r="L10" s="38">
        <v>20</v>
      </c>
      <c r="N10" s="39">
        <v>40</v>
      </c>
      <c r="O10" s="59">
        <f t="shared" si="1"/>
        <v>0.8442051153163409</v>
      </c>
      <c r="P10" s="36">
        <v>1.9863999999999999</v>
      </c>
      <c r="Q10" s="55">
        <f t="shared" si="2"/>
        <v>57.500749329624405</v>
      </c>
    </row>
    <row r="11" spans="1:17" x14ac:dyDescent="0.4">
      <c r="A11" s="39" t="s">
        <v>10</v>
      </c>
      <c r="B11" s="40">
        <f>(B10*PI()^2)/8</f>
        <v>0.24674011002723395</v>
      </c>
      <c r="D11" s="50">
        <v>60</v>
      </c>
      <c r="E11" s="57">
        <f t="shared" si="0"/>
        <v>0.29379283629051572</v>
      </c>
      <c r="F11" s="51">
        <v>0.442</v>
      </c>
      <c r="G11" s="65">
        <f t="shared" si="3"/>
        <v>33.53103251345798</v>
      </c>
      <c r="H11" s="36">
        <f t="shared" si="4"/>
        <v>0.82810000000000006</v>
      </c>
      <c r="K11" s="39" t="s">
        <v>10</v>
      </c>
      <c r="L11" s="40">
        <f>(L10*PI()^2)/8</f>
        <v>24.674011002723397</v>
      </c>
      <c r="N11" s="53">
        <v>60</v>
      </c>
      <c r="O11" s="59">
        <f t="shared" si="1"/>
        <v>0.89037105407547967</v>
      </c>
      <c r="P11" s="54">
        <v>1.4776</v>
      </c>
      <c r="Q11" s="55">
        <f t="shared" si="2"/>
        <v>39.742078094512749</v>
      </c>
    </row>
    <row r="12" spans="1:17" x14ac:dyDescent="0.4">
      <c r="A12" s="39"/>
      <c r="B12" s="40"/>
      <c r="D12" s="39">
        <v>80</v>
      </c>
      <c r="E12" s="57">
        <f t="shared" si="0"/>
        <v>0.22686393499171592</v>
      </c>
      <c r="F12" s="36">
        <v>0.31359999999999999</v>
      </c>
      <c r="G12" s="65">
        <f t="shared" si="3"/>
        <v>27.658183994988544</v>
      </c>
      <c r="H12" s="36">
        <f t="shared" si="4"/>
        <v>0.70559999999999989</v>
      </c>
      <c r="K12" s="39"/>
      <c r="L12" s="40"/>
      <c r="N12" s="39">
        <v>80</v>
      </c>
      <c r="O12" s="59">
        <f t="shared" si="1"/>
        <v>0.96414004258127295</v>
      </c>
      <c r="P12" s="36">
        <v>0.96479999999999999</v>
      </c>
      <c r="Q12" s="55">
        <f t="shared" si="2"/>
        <v>6.8403546717147781E-2</v>
      </c>
    </row>
    <row r="13" spans="1:17" x14ac:dyDescent="0.4">
      <c r="A13" s="41" t="s">
        <v>0</v>
      </c>
      <c r="B13" s="45">
        <f>B11/(B6*1000*B7)</f>
        <v>0.11518128752822318</v>
      </c>
      <c r="D13" s="50">
        <v>100</v>
      </c>
      <c r="E13" s="57">
        <f t="shared" si="0"/>
        <v>0.18399886747907812</v>
      </c>
      <c r="F13" s="51">
        <v>0.2402</v>
      </c>
      <c r="G13" s="65">
        <f t="shared" si="3"/>
        <v>23.397640516620267</v>
      </c>
      <c r="H13" s="36">
        <f t="shared" si="4"/>
        <v>0.5625</v>
      </c>
      <c r="K13" s="41" t="s">
        <v>0</v>
      </c>
      <c r="L13" s="63">
        <f>L11/(B6*1000*B7)</f>
        <v>11.518128752822319</v>
      </c>
      <c r="N13" s="53">
        <v>100</v>
      </c>
      <c r="O13" s="59">
        <f t="shared" si="1"/>
        <v>1.0789535194494599</v>
      </c>
      <c r="P13" s="54">
        <v>0.98929999999999996</v>
      </c>
      <c r="Q13" s="55">
        <f t="shared" si="2"/>
        <v>9.062318755631253</v>
      </c>
    </row>
    <row r="14" spans="1:17" x14ac:dyDescent="0.4">
      <c r="D14" s="39">
        <v>120</v>
      </c>
      <c r="E14" s="57">
        <f t="shared" si="0"/>
        <v>0.15444279892770349</v>
      </c>
      <c r="F14" s="36">
        <v>0.19259999999999999</v>
      </c>
      <c r="G14" s="65">
        <f t="shared" si="3"/>
        <v>19.811630878658622</v>
      </c>
      <c r="H14" s="36">
        <f t="shared" si="4"/>
        <v>0.40960000000000002</v>
      </c>
      <c r="N14" s="39">
        <v>120</v>
      </c>
      <c r="O14" s="59">
        <f t="shared" si="1"/>
        <v>1.2623402651425302</v>
      </c>
      <c r="P14" s="36">
        <v>1.2081999999999999</v>
      </c>
      <c r="Q14" s="55">
        <f t="shared" si="2"/>
        <v>4.4810681296581887</v>
      </c>
    </row>
    <row r="15" spans="1:17" x14ac:dyDescent="0.4">
      <c r="A15" s="36" t="s">
        <v>39</v>
      </c>
      <c r="B15" s="64">
        <v>8.0000000000000007E-5</v>
      </c>
      <c r="D15" s="50">
        <v>140</v>
      </c>
      <c r="E15" s="57">
        <f t="shared" si="0"/>
        <v>0.13290774705628131</v>
      </c>
      <c r="F15" s="51">
        <v>0.15939999999999999</v>
      </c>
      <c r="G15" s="65">
        <f t="shared" si="3"/>
        <v>16.619983026172324</v>
      </c>
      <c r="H15" s="36">
        <f t="shared" si="4"/>
        <v>0.2601</v>
      </c>
      <c r="N15" s="53">
        <v>140</v>
      </c>
      <c r="O15" s="59">
        <f t="shared" si="1"/>
        <v>1.5781861862626023</v>
      </c>
      <c r="P15" s="54">
        <v>1.5371999999999999</v>
      </c>
      <c r="Q15" s="55">
        <f t="shared" si="2"/>
        <v>2.6662884636093169</v>
      </c>
    </row>
    <row r="16" spans="1:17" x14ac:dyDescent="0.4">
      <c r="A16" s="36" t="s">
        <v>40</v>
      </c>
      <c r="B16" s="64">
        <v>5.0000000000000001E-4</v>
      </c>
      <c r="D16" s="39">
        <v>160</v>
      </c>
      <c r="E16" s="57">
        <f t="shared" si="0"/>
        <v>0.11654659690996456</v>
      </c>
      <c r="F16" s="36">
        <v>0.13539999999999999</v>
      </c>
      <c r="G16" s="65">
        <f t="shared" si="3"/>
        <v>13.924226802094113</v>
      </c>
      <c r="H16" s="36">
        <f t="shared" si="4"/>
        <v>0.12959999999999991</v>
      </c>
      <c r="N16" s="39">
        <v>160</v>
      </c>
      <c r="O16" s="59">
        <f t="shared" si="1"/>
        <v>2.2108113025646365</v>
      </c>
      <c r="P16" s="36">
        <v>2.1654</v>
      </c>
      <c r="Q16" s="55">
        <f t="shared" si="2"/>
        <v>2.0971322880131407</v>
      </c>
    </row>
    <row r="17" spans="4:17" x14ac:dyDescent="0.4">
      <c r="D17" s="50">
        <v>180</v>
      </c>
      <c r="E17" s="57">
        <f t="shared" si="0"/>
        <v>0.1037053845603112</v>
      </c>
      <c r="F17" s="51">
        <v>0.1174</v>
      </c>
      <c r="G17" s="65">
        <f t="shared" si="3"/>
        <v>11.664919454590125</v>
      </c>
      <c r="H17" s="36">
        <f t="shared" si="4"/>
        <v>3.6099999999999979E-2</v>
      </c>
      <c r="N17" s="53">
        <v>180</v>
      </c>
      <c r="O17" s="59">
        <f t="shared" si="1"/>
        <v>3.9455333820073522</v>
      </c>
      <c r="P17" s="54">
        <v>3.8824999999999998</v>
      </c>
      <c r="Q17" s="55">
        <f t="shared" si="2"/>
        <v>1.6235256151281987</v>
      </c>
    </row>
    <row r="18" spans="4:17" x14ac:dyDescent="0.4">
      <c r="D18" s="69">
        <v>200</v>
      </c>
      <c r="E18" s="70">
        <f t="shared" si="0"/>
        <v>9.336243508646408E-2</v>
      </c>
      <c r="F18" s="71">
        <v>0.1032</v>
      </c>
      <c r="G18" s="72">
        <f t="shared" si="3"/>
        <v>9.5325241410231794</v>
      </c>
      <c r="H18" s="36">
        <f t="shared" si="4"/>
        <v>0</v>
      </c>
      <c r="N18" s="69">
        <v>200</v>
      </c>
      <c r="O18" s="73">
        <f t="shared" si="1"/>
        <v>9.3362435086464099</v>
      </c>
      <c r="P18" s="71">
        <v>9.2140000000000004</v>
      </c>
      <c r="Q18" s="74">
        <f t="shared" si="2"/>
        <v>1.3267148756936133</v>
      </c>
    </row>
    <row r="19" spans="4:17" x14ac:dyDescent="0.4">
      <c r="D19" s="50">
        <v>220</v>
      </c>
      <c r="E19" s="57">
        <f t="shared" si="0"/>
        <v>8.4854428935734541E-2</v>
      </c>
      <c r="F19" s="51">
        <v>9.1899999999999996E-2</v>
      </c>
      <c r="G19" s="65">
        <f t="shared" si="3"/>
        <v>7.6665626379384708</v>
      </c>
      <c r="H19" s="36">
        <f t="shared" si="4"/>
        <v>4.4100000000000077E-2</v>
      </c>
      <c r="N19" s="53">
        <v>220</v>
      </c>
      <c r="O19" s="59">
        <f t="shared" si="1"/>
        <v>3.513585457614361</v>
      </c>
      <c r="P19" s="54">
        <v>3.5442</v>
      </c>
      <c r="Q19" s="55">
        <f t="shared" si="2"/>
        <v>0.86379274266799244</v>
      </c>
    </row>
    <row r="20" spans="4:17" x14ac:dyDescent="0.4">
      <c r="D20" s="39">
        <v>240</v>
      </c>
      <c r="E20" s="57">
        <f t="shared" si="0"/>
        <v>7.7732736591418952E-2</v>
      </c>
      <c r="F20" s="36">
        <v>8.2699999999999996E-2</v>
      </c>
      <c r="G20" s="65">
        <f t="shared" si="3"/>
        <v>6.0063644601947326</v>
      </c>
      <c r="H20" s="36">
        <f t="shared" si="4"/>
        <v>0.19359999999999997</v>
      </c>
      <c r="N20" s="39">
        <v>240</v>
      </c>
      <c r="O20" s="59">
        <f t="shared" si="1"/>
        <v>1.7926363632194546</v>
      </c>
      <c r="P20" s="36">
        <v>1.8110999999999999</v>
      </c>
      <c r="Q20" s="55">
        <f t="shared" si="2"/>
        <v>1.019470861937237</v>
      </c>
    </row>
    <row r="21" spans="4:17" x14ac:dyDescent="0.4">
      <c r="D21" s="50">
        <v>260</v>
      </c>
      <c r="E21" s="57">
        <f t="shared" si="0"/>
        <v>7.1683426096525019E-2</v>
      </c>
      <c r="F21" s="51">
        <v>7.4999999999999997E-2</v>
      </c>
      <c r="G21" s="65">
        <f t="shared" si="3"/>
        <v>4.4220985379666384</v>
      </c>
      <c r="H21" s="36">
        <f t="shared" si="4"/>
        <v>0.47610000000000025</v>
      </c>
      <c r="N21" s="53">
        <v>260</v>
      </c>
      <c r="O21" s="59">
        <f t="shared" si="1"/>
        <v>1.1593310853892174</v>
      </c>
      <c r="P21" s="54">
        <v>1.1722999999999999</v>
      </c>
      <c r="Q21" s="55">
        <f t="shared" si="2"/>
        <v>1.1062795027537775</v>
      </c>
    </row>
    <row r="22" spans="4:17" x14ac:dyDescent="0.4">
      <c r="D22" s="39">
        <v>280</v>
      </c>
      <c r="E22" s="57">
        <f t="shared" si="0"/>
        <v>6.6480421237101961E-2</v>
      </c>
      <c r="F22" s="36">
        <v>6.8599999999999994E-2</v>
      </c>
      <c r="G22" s="65">
        <f t="shared" si="3"/>
        <v>3.0897649604927602</v>
      </c>
      <c r="H22" s="36">
        <f t="shared" si="4"/>
        <v>0.92159999999999953</v>
      </c>
      <c r="N22" s="39">
        <v>280</v>
      </c>
      <c r="O22" s="59">
        <f t="shared" si="1"/>
        <v>0.83765582879461653</v>
      </c>
      <c r="P22" s="36">
        <v>0.84640000000000004</v>
      </c>
      <c r="Q22" s="55">
        <f t="shared" si="2"/>
        <v>1.0331015129233827</v>
      </c>
    </row>
    <row r="23" spans="4:17" x14ac:dyDescent="0.4">
      <c r="D23" s="50">
        <v>300</v>
      </c>
      <c r="E23" s="57">
        <f t="shared" si="0"/>
        <v>6.1956873208627597E-2</v>
      </c>
      <c r="F23" s="51">
        <v>6.3100000000000003E-2</v>
      </c>
      <c r="G23" s="65">
        <f t="shared" si="3"/>
        <v>1.8116113967866978</v>
      </c>
      <c r="H23" s="36">
        <f t="shared" si="4"/>
        <v>1.5625</v>
      </c>
      <c r="N23" s="53">
        <v>300</v>
      </c>
      <c r="O23" s="59">
        <f t="shared" si="1"/>
        <v>0.64496472771250546</v>
      </c>
      <c r="P23" s="54">
        <v>0.65229999999999999</v>
      </c>
      <c r="Q23" s="55">
        <f t="shared" si="2"/>
        <v>1.124524342709571</v>
      </c>
    </row>
    <row r="24" spans="4:17" x14ac:dyDescent="0.4">
      <c r="D24" s="39">
        <v>320</v>
      </c>
      <c r="E24" s="57">
        <f t="shared" si="0"/>
        <v>5.7987010668718884E-2</v>
      </c>
      <c r="F24" s="36">
        <v>5.8299999999999998E-2</v>
      </c>
      <c r="G24" s="65">
        <f t="shared" si="3"/>
        <v>0.53685991643415665</v>
      </c>
      <c r="H24" s="36">
        <f t="shared" si="4"/>
        <v>2.4336000000000015</v>
      </c>
      <c r="N24" s="39">
        <v>320</v>
      </c>
      <c r="O24" s="59">
        <f t="shared" si="1"/>
        <v>0.51754800568798087</v>
      </c>
      <c r="P24" s="67">
        <v>0.52380000000000004</v>
      </c>
      <c r="Q24" s="55">
        <f t="shared" si="2"/>
        <v>1.1935842520082418</v>
      </c>
    </row>
    <row r="25" spans="4:17" x14ac:dyDescent="0.4">
      <c r="D25" s="50">
        <v>340</v>
      </c>
      <c r="E25" s="57">
        <f t="shared" si="0"/>
        <v>5.4474262387270718E-2</v>
      </c>
      <c r="F25" s="51">
        <v>5.4100000000000002E-2</v>
      </c>
      <c r="G25" s="65">
        <f t="shared" si="3"/>
        <v>0.69179738867045415</v>
      </c>
      <c r="H25" s="36">
        <f t="shared" si="4"/>
        <v>3.5720999999999989</v>
      </c>
      <c r="N25" s="53">
        <v>340</v>
      </c>
      <c r="O25" s="59">
        <f t="shared" si="1"/>
        <v>0.42757098375975799</v>
      </c>
      <c r="P25" s="54">
        <v>0.43319999999999997</v>
      </c>
      <c r="Q25" s="55">
        <f t="shared" si="2"/>
        <v>1.2994035642294506</v>
      </c>
    </row>
    <row r="26" spans="4:17" x14ac:dyDescent="0.4">
      <c r="D26" s="39">
        <v>360</v>
      </c>
      <c r="E26" s="57">
        <f t="shared" si="0"/>
        <v>5.1343266783471092E-2</v>
      </c>
      <c r="F26" s="36">
        <v>5.0500000000000003E-2</v>
      </c>
      <c r="G26" s="65">
        <f>ABS((E26-F26)*100/F26)</f>
        <v>1.6698352147942352</v>
      </c>
      <c r="H26" s="36">
        <f t="shared" si="4"/>
        <v>5.0176000000000007</v>
      </c>
      <c r="N26" s="39">
        <v>360</v>
      </c>
      <c r="O26" s="59">
        <f t="shared" si="1"/>
        <v>0.36098393405017215</v>
      </c>
      <c r="P26" s="36">
        <v>0.3659</v>
      </c>
      <c r="Q26" s="55">
        <f t="shared" si="2"/>
        <v>1.343554509381758</v>
      </c>
    </row>
    <row r="27" spans="4:17" x14ac:dyDescent="0.4">
      <c r="D27" s="50">
        <v>380</v>
      </c>
      <c r="E27" s="57">
        <f t="shared" si="0"/>
        <v>4.8534364048463882E-2</v>
      </c>
      <c r="F27" s="51">
        <v>4.7300000000000002E-2</v>
      </c>
      <c r="G27" s="65">
        <f>ABS((E27-F27)*100/F27)</f>
        <v>2.6096491510864279</v>
      </c>
      <c r="H27" s="36">
        <f t="shared" si="4"/>
        <v>6.8120999999999992</v>
      </c>
      <c r="N27" s="53">
        <v>380</v>
      </c>
      <c r="O27" s="59">
        <f t="shared" si="1"/>
        <v>0.30994459524350487</v>
      </c>
      <c r="P27" s="54">
        <v>0.31430000000000002</v>
      </c>
      <c r="Q27" s="55">
        <f t="shared" si="2"/>
        <v>1.3857476158113748</v>
      </c>
    </row>
    <row r="28" spans="4:17" x14ac:dyDescent="0.4">
      <c r="D28" s="41">
        <v>400</v>
      </c>
      <c r="E28" s="57">
        <f t="shared" si="0"/>
        <v>4.599971686976953E-2</v>
      </c>
      <c r="F28" s="42">
        <v>4.4400000000000002E-2</v>
      </c>
      <c r="G28" s="66">
        <f t="shared" si="3"/>
        <v>3.6029659229043429</v>
      </c>
      <c r="H28" s="36">
        <f t="shared" si="4"/>
        <v>9</v>
      </c>
      <c r="N28" s="41">
        <v>400</v>
      </c>
      <c r="O28" s="59">
        <f t="shared" si="1"/>
        <v>0.26973837986236499</v>
      </c>
      <c r="P28" s="42">
        <v>0.27360000000000001</v>
      </c>
      <c r="Q28" s="61">
        <f t="shared" si="2"/>
        <v>1.4114108690186493</v>
      </c>
    </row>
    <row r="29" spans="4:17" x14ac:dyDescent="0.4">
      <c r="D29" s="36">
        <v>600</v>
      </c>
      <c r="E29" s="57">
        <f t="shared" si="0"/>
        <v>2.9749148801405206E-2</v>
      </c>
      <c r="F29" s="36">
        <v>2.6800000000000001E-2</v>
      </c>
      <c r="G29" s="56">
        <f t="shared" si="3"/>
        <v>11.00428657240748</v>
      </c>
      <c r="H29" s="36">
        <f t="shared" si="4"/>
        <v>64</v>
      </c>
      <c r="N29" s="36">
        <v>600</v>
      </c>
      <c r="O29" s="59">
        <f t="shared" si="1"/>
        <v>0.10126752695633283</v>
      </c>
      <c r="P29" s="36">
        <v>0.1027</v>
      </c>
      <c r="Q29" s="36">
        <f t="shared" si="2"/>
        <v>1.3948130902309355</v>
      </c>
    </row>
  </sheetData>
  <mergeCells count="5">
    <mergeCell ref="E3:F3"/>
    <mergeCell ref="O3:P3"/>
    <mergeCell ref="D4:G4"/>
    <mergeCell ref="N4:Q4"/>
    <mergeCell ref="H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Different_Q_SRC</vt:lpstr>
      <vt:lpstr>Different_R_SRC,PRC</vt:lpstr>
      <vt:lpstr>SRC_AnaVs.Sim</vt:lpstr>
      <vt:lpstr>PRC_AnaVs.Sim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2025-06-05T18:10:37Z</dcterms:created>
  <dcterms:modified xsi:type="dcterms:W3CDTF">2025-10-27T14:06:29Z</dcterms:modified>
</cp:coreProperties>
</file>